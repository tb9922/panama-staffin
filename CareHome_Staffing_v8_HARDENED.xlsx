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_STATUS" sheetId="1" state="visible" r:id="rId3"/>
    <sheet name="CONTINGENCY_PLAN" sheetId="2" state="visible" r:id="rId4"/>
    <sheet name="CONFIG" sheetId="3" state="visible" r:id="rId5"/>
    <sheet name="STAFF_DB" sheetId="4" state="visible" r:id="rId6"/>
    <sheet name="ROSTER" sheetId="5" state="visible" r:id="rId7"/>
    <sheet name="DAILY_COSTS" sheetId="6" state="visible" r:id="rId8"/>
    <sheet name="SCENARIO_MODEL" sheetId="7" state="visible" r:id="rId9"/>
    <sheet name="BEFORE_VS_AFTER" sheetId="8" state="visible" r:id="rId10"/>
    <sheet name="AGENCY_KILL_GUIDE" sheetId="9" state="visible" r:id="rId11"/>
    <sheet name="FATIGUE_TRACKER" sheetId="10" state="visible" r:id="rId12"/>
    <sheet name="DASHBOARD" sheetId="11" state="visible" r:id="rId13"/>
    <sheet name="FULL_P_AND_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<sst xmlns="http://schemas.openxmlformats.org/spreadsheetml/2006/main" count="1832" uniqueCount="717">
  <si>
    <t xml:space="preserve">DAILY STATUS BOARD</t>
  </si>
  <si>
    <t xml:space="preserve">Change day (B3). Mark sick/swap in ROSTER first → this updates automatically.</t>
  </si>
  <si>
    <t xml:space="preserve">SELECT DAY →</t>
  </si>
  <si>
    <t xml:space="preserve">(1-28)</t>
  </si>
  <si>
    <t xml:space="preserve">Day of Week</t>
  </si>
  <si>
    <t xml:space="preserve">TODAY'S ASSIGNMENTS</t>
  </si>
  <si>
    <t xml:space="preserve">Staff</t>
  </si>
  <si>
    <t xml:space="preserve">Team</t>
  </si>
  <si>
    <t xml:space="preserve">Skill</t>
  </si>
  <si>
    <t xml:space="preserve">Shift</t>
  </si>
  <si>
    <t xml:space="preserve">Status</t>
  </si>
  <si>
    <t xml:space="preserve">Action Needed</t>
  </si>
  <si>
    <t xml:space="preserve">COVERAGE</t>
  </si>
  <si>
    <t xml:space="preserve">Metric</t>
  </si>
  <si>
    <t xml:space="preserve">Count</t>
  </si>
  <si>
    <t xml:space="preserve">Min</t>
  </si>
  <si>
    <t xml:space="preserve">Early</t>
  </si>
  <si>
    <t xml:space="preserve">Late</t>
  </si>
  <si>
    <t xml:space="preserve">Night</t>
  </si>
  <si>
    <t xml:space="preserve">Sick</t>
  </si>
  <si>
    <t xml:space="preserve">AL</t>
  </si>
  <si>
    <t xml:space="preserve">Float Avail</t>
  </si>
  <si>
    <t xml:space="preserve">Agency</t>
  </si>
  <si>
    <t xml:space="preserve">Off Duty</t>
  </si>
  <si>
    <t xml:space="preserve">ESCALATION</t>
  </si>
  <si>
    <t xml:space="preserve">Current Level</t>
  </si>
  <si>
    <t xml:space="preserve">SWAP VALIDATOR</t>
  </si>
  <si>
    <t xml:space="preserve">Enter roster row numbers (4-50) for both staff + day number</t>
  </si>
  <si>
    <t xml:space="preserve">Staff A Row</t>
  </si>
  <si>
    <t xml:space="preserve">Staff B Row</t>
  </si>
  <si>
    <t xml:space="preserve">Swap Day</t>
  </si>
  <si>
    <t xml:space="preserve">A current</t>
  </si>
  <si>
    <t xml:space="preserve">B current</t>
  </si>
  <si>
    <t xml:space="preserve">Skill A</t>
  </si>
  <si>
    <t xml:space="preserve">Skill B</t>
  </si>
  <si>
    <t xml:space="preserve">Skill safe?</t>
  </si>
  <si>
    <t xml:space="preserve">A fatigue count</t>
  </si>
  <si>
    <t xml:space="preserve">Fatigue safe?</t>
  </si>
  <si>
    <t xml:space="preserve">A weekly hrs</t>
  </si>
  <si>
    <t xml:space="preserve">WTR after swap?</t>
  </si>
  <si>
    <t xml:space="preserve">VERDICT</t>
  </si>
  <si>
    <t xml:space="preserve">AVAILABLE COVER</t>
  </si>
  <si>
    <t xml:space="preserve">Staff who are AVL (float) or OFF (OT candidates) today</t>
  </si>
  <si>
    <t xml:space="preserve">Name</t>
  </si>
  <si>
    <t xml:space="preserve">Current</t>
  </si>
  <si>
    <t xml:space="preserve">Type</t>
  </si>
  <si>
    <t xml:space="preserve">Fatigue</t>
  </si>
  <si>
    <t xml:space="preserve">CONTINGENCY &amp; FORTIFICATION PLAN</t>
  </si>
  <si>
    <t xml:space="preserve">ESCALATION PROTOCOL</t>
  </si>
  <si>
    <t xml:space="preserve">Level</t>
  </si>
  <si>
    <t xml:space="preserve">Trigger &amp; Actions</t>
  </si>
  <si>
    <t xml:space="preserve">Max Duration</t>
  </si>
  <si>
    <t xml:space="preserve">⬜ LVL 0</t>
  </si>
  <si>
    <t xml:space="preserve">All covered. Float standby.</t>
  </si>
  <si>
    <t xml:space="preserve">Indefinite</t>
  </si>
  <si>
    <t xml:space="preserve">🟢 LVL 1</t>
  </si>
  <si>
    <t xml:space="preserve">Float deployed (1-3 gaps). OT alerted.</t>
  </si>
  <si>
    <t xml:space="preserve">7 days</t>
  </si>
  <si>
    <t xml:space="preserve">🟡 LVL 2</t>
  </si>
  <si>
    <t xml:space="preserve">OT activated. Bank staff called.</t>
  </si>
  <si>
    <t xml:space="preserve">7 days WTR</t>
  </si>
  <si>
    <t xml:space="preserve">🟠 LVL 3</t>
  </si>
  <si>
    <t xml:space="preserve">Agency booked. Handover pack ready.</t>
  </si>
  <si>
    <t xml:space="preserve">14 days</t>
  </si>
  <si>
    <t xml:space="preserve">🔴 LVL 4</t>
  </si>
  <si>
    <t xml:space="preserve">Agency unavailable. Manager on floor. Emergency call-in 1.5x.</t>
  </si>
  <si>
    <t xml:space="preserve">48hrs max</t>
  </si>
  <si>
    <t xml:space="preserve">⚫ LVL 5</t>
  </si>
  <si>
    <t xml:space="preserve">Close admissions. Notify CQC. Mutual aid.</t>
  </si>
  <si>
    <t xml:space="preserve">Immediate</t>
  </si>
  <si>
    <t xml:space="preserve">NIGHT VULNERABILITY COUNTERMEASURES</t>
  </si>
  <si>
    <t xml:space="preserve">1. Night-First Float</t>
  </si>
  <si>
    <t xml:space="preserve">Float deploys night BEFORE day. Night=0 buffer; Day=4-5 buffer.</t>
  </si>
  <si>
    <t xml:space="preserve">2. Standing Agency Night</t>
  </si>
  <si>
    <t xml:space="preserve">Pre-book 1 agency night/wk Nov-Mar. Cancel 24hrs. £343/wk.</t>
  </si>
  <si>
    <t xml:space="preserve">3. 4th Night Staff</t>
  </si>
  <si>
    <t xml:space="preserve">Recruit 1 extra per night team. +£55K/yr. Eliminates #1 vulnerability.</t>
  </si>
  <si>
    <t xml:space="preserve">4. Night Bank Staff</t>
  </si>
  <si>
    <t xml:space="preserve">2 bank workers night-available. Zero-hours. Base+£3. 2hr response.</t>
  </si>
  <si>
    <t xml:space="preserve">5. Mutual Aid Pact</t>
  </si>
  <si>
    <t xml:space="preserve">Agreement with 2-3 neighbouring homes to loan night staff at agreed rate.</t>
  </si>
  <si>
    <t xml:space="preserve">WEEKLY OT CAP (WTR)</t>
  </si>
  <si>
    <t xml:space="preserve">Daily model: OT=4/day. Weekly truth: same 4 people, max 8 shifts/wk.</t>
  </si>
  <si>
    <t xml:space="preserve">Scenario</t>
  </si>
  <si>
    <t xml:space="preserve">Gaps/d</t>
  </si>
  <si>
    <t xml:space="preserve">Gaps/wk</t>
  </si>
  <si>
    <t xml:space="preserve">Float/wk</t>
  </si>
  <si>
    <t xml:space="preserve">OT/wk</t>
  </si>
  <si>
    <t xml:space="preserve">Agency/wk</t>
  </si>
  <si>
    <t xml:space="preserve">Ag £/wk</t>
  </si>
  <si>
    <t xml:space="preserve">CLEAN</t>
  </si>
  <si>
    <t xml:space="preserve">TYPICAL</t>
  </si>
  <si>
    <t xml:space="preserve">BAD</t>
  </si>
  <si>
    <t xml:space="preserve">CRISIS</t>
  </si>
  <si>
    <t xml:space="preserve">WORST</t>
  </si>
  <si>
    <t xml:space="preserve">PANDEMIC</t>
  </si>
  <si>
    <t xml:space="preserve">BAD WEEK: daily model shows 0 agency. Weekly shows 5 needed.</t>
  </si>
  <si>
    <t xml:space="preserve">NOROVIRUS WAVE (14 days)</t>
  </si>
  <si>
    <t xml:space="preserve">Day</t>
  </si>
  <si>
    <t xml:space="preserve">Float</t>
  </si>
  <si>
    <t xml:space="preserve">OT</t>
  </si>
  <si>
    <t xml:space="preserve">Shortfall</t>
  </si>
  <si>
    <t xml:space="preserve">Cost</t>
  </si>
  <si>
    <t xml:space="preserve">Actions</t>
  </si>
  <si>
    <t xml:space="preserve">Index cases</t>
  </si>
  <si>
    <t xml:space="preserve">Outbreak declared</t>
  </si>
  <si>
    <t xml:space="preserve">IPC active</t>
  </si>
  <si>
    <t xml:space="preserve">PEAK</t>
  </si>
  <si>
    <t xml:space="preserve">PEAK+1 Manager floor</t>
  </si>
  <si>
    <t xml:space="preserve">First recoveries</t>
  </si>
  <si>
    <t xml:space="preserve">Declining</t>
  </si>
  <si>
    <t xml:space="preserve">Recovery</t>
  </si>
  <si>
    <t xml:space="preserve">Near-normal</t>
  </si>
  <si>
    <t xml:space="preserve">Monitoring</t>
  </si>
  <si>
    <t xml:space="preserve">Almost clear</t>
  </si>
  <si>
    <t xml:space="preserve">Clearing</t>
  </si>
  <si>
    <t xml:space="preserve">Clear</t>
  </si>
  <si>
    <t xml:space="preserve">Normal</t>
  </si>
  <si>
    <t xml:space="preserve">OUTBREAK TOTAL</t>
  </si>
  <si>
    <t xml:space="preserve">Normal 14 days</t>
  </si>
  <si>
    <t xml:space="preserve">OUTBREAK PREMIUM</t>
  </si>
  <si>
    <t xml:space="preserve">WINTER BUDGET (Dec-Feb)</t>
  </si>
  <si>
    <t xml:space="preserve">Standing agency nights 17wk</t>
  </si>
  <si>
    <t xml:space="preserve">Bank staff recruit ×4</t>
  </si>
  <si>
    <t xml:space="preserve">Flu vaccines ×25</t>
  </si>
  <si>
    <t xml:space="preserve">IPC stock</t>
  </si>
  <si>
    <t xml:space="preserve">Winter OT incentive 12wk</t>
  </si>
  <si>
    <t xml:space="preserve">Emergency reserve</t>
  </si>
  <si>
    <t xml:space="preserve">TOTAL WINTER BUDGET</t>
  </si>
  <si>
    <t xml:space="preserve">CARE HOME STAFFING SYSTEM v3.0</t>
  </si>
  <si>
    <t xml:space="preserve">SELF-ORGANIZING EDITION</t>
  </si>
  <si>
    <t xml:space="preserve">SETTING</t>
  </si>
  <si>
    <t xml:space="preserve">VALUE</t>
  </si>
  <si>
    <t xml:space="preserve">UNIT</t>
  </si>
  <si>
    <t xml:space="preserve">NOTES</t>
  </si>
  <si>
    <t xml:space="preserve">Roster Start Date</t>
  </si>
  <si>
    <t xml:space="preserve">2025-01-06</t>
  </si>
  <si>
    <t xml:space="preserve">Must be a Monday</t>
  </si>
  <si>
    <t xml:space="preserve">Cycle Length</t>
  </si>
  <si>
    <t xml:space="preserve">days</t>
  </si>
  <si>
    <t xml:space="preserve">Panama rotation period</t>
  </si>
  <si>
    <t xml:space="preserve">SHIFT TIMES &amp; HOURS</t>
  </si>
  <si>
    <t xml:space="preserve">Early Shift (E)</t>
  </si>
  <si>
    <t xml:space="preserve">hours</t>
  </si>
  <si>
    <t xml:space="preserve">08:00-14:00</t>
  </si>
  <si>
    <t xml:space="preserve">Late Shift (L)</t>
  </si>
  <si>
    <t xml:space="preserve">14:00-20:00</t>
  </si>
  <si>
    <t xml:space="preserve">Full Day (EL)</t>
  </si>
  <si>
    <t xml:space="preserve">07:45-20:00 (incl 15min handover)</t>
  </si>
  <si>
    <t xml:space="preserve">Night Shift (N)</t>
  </si>
  <si>
    <t xml:space="preserve">19:45-08:00 (incl 15min handover)</t>
  </si>
  <si>
    <t xml:space="preserve">HANDOVER &amp; BREAKS</t>
  </si>
  <si>
    <t xml:space="preserve">Evening Handover</t>
  </si>
  <si>
    <t xml:space="preserve">mins</t>
  </si>
  <si>
    <t xml:space="preserve">19:45-20:00 (Day→Night overlap)</t>
  </si>
  <si>
    <t xml:space="preserve">Morning Handover</t>
  </si>
  <si>
    <t xml:space="preserve">07:45-08:00 (Night→Day overlap)</t>
  </si>
  <si>
    <t xml:space="preserve">Break Deduction</t>
  </si>
  <si>
    <t xml:space="preserve">Breaks are PAID (care home requirement)</t>
  </si>
  <si>
    <t xml:space="preserve">MINIMUM STAFFING</t>
  </si>
  <si>
    <t xml:space="preserve">Early Min (Heads)</t>
  </si>
  <si>
    <t xml:space="preserve">people</t>
  </si>
  <si>
    <t xml:space="preserve">Minimum on Early</t>
  </si>
  <si>
    <t xml:space="preserve">Early Min (Skill)</t>
  </si>
  <si>
    <t xml:space="preserve">points</t>
  </si>
  <si>
    <t xml:space="preserve">Senior=1.0, Junior=0.5</t>
  </si>
  <si>
    <t xml:space="preserve">Late Min (Heads)</t>
  </si>
  <si>
    <t xml:space="preserve">Minimum on Late</t>
  </si>
  <si>
    <t xml:space="preserve">Late Min (Skill)</t>
  </si>
  <si>
    <t xml:space="preserve">Night Min (Heads)</t>
  </si>
  <si>
    <t xml:space="preserve">Minimum on Night</t>
  </si>
  <si>
    <t xml:space="preserve">Night Min (Skill)</t>
  </si>
  <si>
    <t xml:space="preserve">At least 1 Senior</t>
  </si>
  <si>
    <t xml:space="preserve">OVERTIME &amp; AGENCY</t>
  </si>
  <si>
    <t xml:space="preserve">OT Premium</t>
  </si>
  <si>
    <t xml:space="preserve">£/hour</t>
  </si>
  <si>
    <t xml:space="preserve">Extra for OC/OT shifts</t>
  </si>
  <si>
    <t xml:space="preserve">Agency Rate (Day)</t>
  </si>
  <si>
    <t xml:space="preserve">External day cover</t>
  </si>
  <si>
    <t xml:space="preserve">Agency Rate (Night)</t>
  </si>
  <si>
    <t xml:space="preserve">External night cover (12hr)</t>
  </si>
  <si>
    <t xml:space="preserve">SAFETY LIMITS</t>
  </si>
  <si>
    <t xml:space="preserve">Max Consecutive Days</t>
  </si>
  <si>
    <t xml:space="preserve">Fatigue limit</t>
  </si>
  <si>
    <t xml:space="preserve">Max AL Same Day</t>
  </si>
  <si>
    <t xml:space="preserve">Coverage protection</t>
  </si>
  <si>
    <t xml:space="preserve">Float Retainer</t>
  </si>
  <si>
    <t xml:space="preserve">£/week</t>
  </si>
  <si>
    <t xml:space="preserve">Standby payment</t>
  </si>
  <si>
    <t xml:space="preserve">ANNUAL LEAVE</t>
  </si>
  <si>
    <t xml:space="preserve">AL Entitlement</t>
  </si>
  <si>
    <t xml:space="preserve">days/year</t>
  </si>
  <si>
    <t xml:space="preserve">Standard UK</t>
  </si>
  <si>
    <t xml:space="preserve">WEEKLY HOURS TARGETS</t>
  </si>
  <si>
    <t xml:space="preserve">FT Target (EL workers)</t>
  </si>
  <si>
    <t xml:space="preserve">hours/week</t>
  </si>
  <si>
    <t xml:space="preserve">3.5 shifts × 12.25hrs</t>
  </si>
  <si>
    <t xml:space="preserve">FT Target (E or L only)</t>
  </si>
  <si>
    <t xml:space="preserve">6 shifts avg</t>
  </si>
  <si>
    <t xml:space="preserve">Night FT Target</t>
  </si>
  <si>
    <t xml:space="preserve">BANK HOLIDAY</t>
  </si>
  <si>
    <t xml:space="preserve">BH Premium</t>
  </si>
  <si>
    <t xml:space="preserve">multiplier</t>
  </si>
  <si>
    <t xml:space="preserve">Applied to base rate on bank holidays</t>
  </si>
  <si>
    <t xml:space="preserve">SICKNESS ASSUMPTIONS</t>
  </si>
  <si>
    <t xml:space="preserve">Avg Sickness Rate</t>
  </si>
  <si>
    <t xml:space="preserve">%</t>
  </si>
  <si>
    <t xml:space="preserve">6% sector average (5-8% typical)</t>
  </si>
  <si>
    <t xml:space="preserve">Avg AL per day</t>
  </si>
  <si>
    <t xml:space="preserve">Typical daily AL overlap</t>
  </si>
  <si>
    <t xml:space="preserve">AGENCY NIGHT SPLIT</t>
  </si>
  <si>
    <t xml:space="preserve">Night Gap % (of total)</t>
  </si>
  <si>
    <t xml:space="preserve">30% of gaps are night shifts</t>
  </si>
  <si>
    <t xml:space="preserve">FORTIFICATION PARAMETERS</t>
  </si>
  <si>
    <t xml:space="preserve">Night Float Priority</t>
  </si>
  <si>
    <t xml:space="preserve">Y</t>
  </si>
  <si>
    <t xml:space="preserve">Emergency Call-In Premium</t>
  </si>
  <si>
    <t xml:space="preserve">Manager Floor Rate</t>
  </si>
  <si>
    <t xml:space="preserve">Winter Sick Uplift</t>
  </si>
  <si>
    <t xml:space="preserve">Weekly OT Cap (shifts)</t>
  </si>
  <si>
    <t xml:space="preserve">Agency Availability %</t>
  </si>
  <si>
    <t xml:space="preserve">NLW Rate Apr 2025</t>
  </si>
  <si>
    <t xml:space="preserve">Senior Differential</t>
  </si>
  <si>
    <t xml:space="preserve">Team Lead Differential</t>
  </si>
  <si>
    <t xml:space="preserve">Night Premium</t>
  </si>
  <si>
    <t xml:space="preserve">Bank Staff Pool Size</t>
  </si>
  <si>
    <t xml:space="preserve">STAFF DATABASE - Single Source of Truth</t>
  </si>
  <si>
    <t xml:space="preserve">Add/remove staff here. ROSTER updates automatically.</t>
  </si>
  <si>
    <t xml:space="preserve">ID</t>
  </si>
  <si>
    <t xml:space="preserve">Role</t>
  </si>
  <si>
    <t xml:space="preserve">Pref</t>
  </si>
  <si>
    <t xml:space="preserve">Rate</t>
  </si>
  <si>
    <t xml:space="preserve">Active</t>
  </si>
  <si>
    <t xml:space="preserve">Start Date</t>
  </si>
  <si>
    <t xml:space="preserve">Notes</t>
  </si>
  <si>
    <t xml:space="preserve">WTR Opt-Out</t>
  </si>
  <si>
    <t xml:space="preserve">S001</t>
  </si>
  <si>
    <t xml:space="preserve">Alice Johnson</t>
  </si>
  <si>
    <t xml:space="preserve">Senior Carer</t>
  </si>
  <si>
    <t xml:space="preserve">Day A</t>
  </si>
  <si>
    <t xml:space="preserve">EL</t>
  </si>
  <si>
    <t xml:space="preserve">S002</t>
  </si>
  <si>
    <t xml:space="preserve">Bob Smith</t>
  </si>
  <si>
    <t xml:space="preserve">Carer</t>
  </si>
  <si>
    <t xml:space="preserve">S003</t>
  </si>
  <si>
    <t xml:space="preserve">Carol Davis</t>
  </si>
  <si>
    <t xml:space="preserve">S004</t>
  </si>
  <si>
    <t xml:space="preserve">David Wilson</t>
  </si>
  <si>
    <t xml:space="preserve">S005</t>
  </si>
  <si>
    <t xml:space="preserve">Emma Brown</t>
  </si>
  <si>
    <t xml:space="preserve">Team Lead</t>
  </si>
  <si>
    <t xml:space="preserve">S006</t>
  </si>
  <si>
    <t xml:space="preserve">Fiona Hart</t>
  </si>
  <si>
    <t xml:space="preserve">S007</t>
  </si>
  <si>
    <t xml:space="preserve">George King</t>
  </si>
  <si>
    <t xml:space="preserve">S008</t>
  </si>
  <si>
    <t xml:space="preserve">Hannah Lee</t>
  </si>
  <si>
    <t xml:space="preserve">Day B</t>
  </si>
  <si>
    <t xml:space="preserve">S009</t>
  </si>
  <si>
    <t xml:space="preserve">Ian Clark</t>
  </si>
  <si>
    <t xml:space="preserve">S010</t>
  </si>
  <si>
    <t xml:space="preserve">Julia Martin</t>
  </si>
  <si>
    <t xml:space="preserve">S011</t>
  </si>
  <si>
    <t xml:space="preserve">Kevin White</t>
  </si>
  <si>
    <t xml:space="preserve">S012</t>
  </si>
  <si>
    <t xml:space="preserve">Laura Adams</t>
  </si>
  <si>
    <t xml:space="preserve">S013</t>
  </si>
  <si>
    <t xml:space="preserve">Mike Taylor</t>
  </si>
  <si>
    <t xml:space="preserve">S014</t>
  </si>
  <si>
    <t xml:space="preserve">Nina Patel</t>
  </si>
  <si>
    <t xml:space="preserve">S015</t>
  </si>
  <si>
    <t xml:space="preserve">Oliver Ross</t>
  </si>
  <si>
    <t xml:space="preserve">Night Senior</t>
  </si>
  <si>
    <t xml:space="preserve">Night A</t>
  </si>
  <si>
    <t xml:space="preserve">N</t>
  </si>
  <si>
    <t xml:space="preserve">S016</t>
  </si>
  <si>
    <t xml:space="preserve">Paula Young</t>
  </si>
  <si>
    <t xml:space="preserve">Night Carer</t>
  </si>
  <si>
    <t xml:space="preserve">S017</t>
  </si>
  <si>
    <t xml:space="preserve">Quentin Fox</t>
  </si>
  <si>
    <t xml:space="preserve">S018</t>
  </si>
  <si>
    <t xml:space="preserve">Rachel Green</t>
  </si>
  <si>
    <t xml:space="preserve">Night B</t>
  </si>
  <si>
    <t xml:space="preserve">S019</t>
  </si>
  <si>
    <t xml:space="preserve">Steve Black</t>
  </si>
  <si>
    <t xml:space="preserve">S020</t>
  </si>
  <si>
    <t xml:space="preserve">Tina Hall</t>
  </si>
  <si>
    <t xml:space="preserve">S021</t>
  </si>
  <si>
    <t xml:space="preserve">Uma Shah</t>
  </si>
  <si>
    <t xml:space="preserve">Float Senior</t>
  </si>
  <si>
    <t xml:space="preserve">ANY</t>
  </si>
  <si>
    <t xml:space="preserve">S022</t>
  </si>
  <si>
    <t xml:space="preserve">Victor Chen</t>
  </si>
  <si>
    <t xml:space="preserve">Float Carer</t>
  </si>
  <si>
    <t xml:space="preserve">S023</t>
  </si>
  <si>
    <t xml:space="preserve">Wendy Jones</t>
  </si>
  <si>
    <t xml:space="preserve">S024</t>
  </si>
  <si>
    <t xml:space="preserve">Xena Price</t>
  </si>
  <si>
    <t xml:space="preserve">Carer (PT)</t>
  </si>
  <si>
    <t xml:space="preserve">E</t>
  </si>
  <si>
    <t xml:space="preserve">Early only - school run</t>
  </si>
  <si>
    <t xml:space="preserve">S025</t>
  </si>
  <si>
    <t xml:space="preserve">Yasmin Reed</t>
  </si>
  <si>
    <t xml:space="preserve">Senior (PT)</t>
  </si>
  <si>
    <t xml:space="preserve">L</t>
  </si>
  <si>
    <t xml:space="preserve">Late only - prefers afternoons</t>
  </si>
  <si>
    <t xml:space="preserve">TEAM SUMMARY</t>
  </si>
  <si>
    <t xml:space="preserve">TOTAL ACTIVE</t>
  </si>
  <si>
    <t xml:space="preserve">Part-Time (E/L)</t>
  </si>
  <si>
    <t xml:space="preserve">DYNAMIC ROSTER - Self-Organizing</t>
  </si>
  <si>
    <t xml:space="preserve">Gold cells = "Agency Kill" targets (rested staff on short week)</t>
  </si>
  <si>
    <t xml:space="preserve">Week 1</t>
  </si>
  <si>
    <t xml:space="preserve">Week 2</t>
  </si>
  <si>
    <t xml:space="preserve">Week 3</t>
  </si>
  <si>
    <t xml:space="preserve">Week 4</t>
  </si>
  <si>
    <t xml:space="preserve">06
Mon</t>
  </si>
  <si>
    <t xml:space="preserve">07
Tue</t>
  </si>
  <si>
    <t xml:space="preserve">08
Wed</t>
  </si>
  <si>
    <t xml:space="preserve">09
Thu</t>
  </si>
  <si>
    <t xml:space="preserve">10
Fri</t>
  </si>
  <si>
    <t xml:space="preserve">11
Sat</t>
  </si>
  <si>
    <t xml:space="preserve">12
Sun</t>
  </si>
  <si>
    <t xml:space="preserve">13
Mon</t>
  </si>
  <si>
    <t xml:space="preserve">14
Tue</t>
  </si>
  <si>
    <t xml:space="preserve">15
Wed</t>
  </si>
  <si>
    <t xml:space="preserve">16
Thu</t>
  </si>
  <si>
    <t xml:space="preserve">17
Fri</t>
  </si>
  <si>
    <t xml:space="preserve">18
Sat</t>
  </si>
  <si>
    <t xml:space="preserve">19
Sun</t>
  </si>
  <si>
    <t xml:space="preserve">20
Mon</t>
  </si>
  <si>
    <t xml:space="preserve">21
Tue</t>
  </si>
  <si>
    <t xml:space="preserve">22
Wed</t>
  </si>
  <si>
    <t xml:space="preserve">23
Thu</t>
  </si>
  <si>
    <t xml:space="preserve">24
Fri</t>
  </si>
  <si>
    <t xml:space="preserve">25
Sat</t>
  </si>
  <si>
    <t xml:space="preserve">26
Sun</t>
  </si>
  <si>
    <t xml:space="preserve">27
Mon</t>
  </si>
  <si>
    <t xml:space="preserve">28
Tue</t>
  </si>
  <si>
    <t xml:space="preserve">29
Wed</t>
  </si>
  <si>
    <t xml:space="preserve">30
Thu</t>
  </si>
  <si>
    <t xml:space="preserve">31
Fri</t>
  </si>
  <si>
    <t xml:space="preserve">01
Sat</t>
  </si>
  <si>
    <t xml:space="preserve">02
Sun</t>
  </si>
  <si>
    <t xml:space="preserve">Total Hrs</t>
  </si>
  <si>
    <t xml:space="preserve">Gross Pay</t>
  </si>
  <si>
    <t xml:space="preserve">OT Hrs</t>
  </si>
  <si>
    <t xml:space="preserve">OT Pay</t>
  </si>
  <si>
    <t xml:space="preserve">BH Prem</t>
  </si>
  <si>
    <t xml:space="preserve">Wk Avg Hrs</t>
  </si>
  <si>
    <t xml:space="preserve">WTR Check</t>
  </si>
  <si>
    <t xml:space="preserve">OFF</t>
  </si>
  <si>
    <t xml:space="preserve">AVL</t>
  </si>
  <si>
    <t xml:space="preserve">COVERAGE VALIDATION</t>
  </si>
  <si>
    <t xml:space="preserve">Early Count</t>
  </si>
  <si>
    <t xml:space="preserve">Early Skill ⚡</t>
  </si>
  <si>
    <t xml:space="preserve">Late Count</t>
  </si>
  <si>
    <t xml:space="preserve">Late Skill ⚡</t>
  </si>
  <si>
    <t xml:space="preserve">Night Count</t>
  </si>
  <si>
    <t xml:space="preserve">Night Skill ⚡</t>
  </si>
  <si>
    <t xml:space="preserve">AL Count</t>
  </si>
  <si>
    <t xml:space="preserve">Sick Count</t>
  </si>
  <si>
    <t xml:space="preserve">Agency Count</t>
  </si>
  <si>
    <t xml:space="preserve">Day Status</t>
  </si>
  <si>
    <t xml:space="preserve">Night Status</t>
  </si>
  <si>
    <t xml:space="preserve">DAILY COST TRACKER (v7 — Adaptive)</t>
  </si>
  <si>
    <t xml:space="preserve">Day#</t>
  </si>
  <si>
    <t xml:space="preserve">Base £ (staff)</t>
  </si>
  <si>
    <t xml:space="preserve">OT Prem £</t>
  </si>
  <si>
    <t xml:space="preserve">AG Day £</t>
  </si>
  <si>
    <t xml:space="preserve">AG Night £</t>
  </si>
  <si>
    <t xml:space="preserve">BH Prem £</t>
  </si>
  <si>
    <t xml:space="preserve">TOTAL £</t>
  </si>
  <si>
    <t xml:space="preserve">Cumul £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</si>
  <si>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</si>
  <si>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</si>
  <si>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</si>
  <si>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</si>
  <si>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</si>
  <si>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</si>
  <si>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</si>
  <si>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28-DAY TOTALS</t>
  </si>
  <si>
    <t xml:space="preserve">COST BREAKDOWN</t>
  </si>
  <si>
    <t xml:space="preserve">Internal Staff (base)</t>
  </si>
  <si>
    <t xml:space="preserve">Agency Day</t>
  </si>
  <si>
    <t xml:space="preserve">Agency Night</t>
  </si>
  <si>
    <t xml:space="preserve">Bank Holiday Premium</t>
  </si>
  <si>
    <t xml:space="preserve">TOTAL 28-DAY</t>
  </si>
  <si>
    <t xml:space="preserve">Agency % of Total</t>
  </si>
  <si>
    <t xml:space="preserve">STAFFING COST SCENARIOS (v7 — Fully Adaptive)</t>
  </si>
  <si>
    <t xml:space="preserve">All rates, counts, and costs dynamically linked to ROSTER, CONFIG, STAFF_DB, and DAILY_COSTS</t>
  </si>
  <si>
    <t xml:space="preserve">ASSUMPTIONS</t>
  </si>
  <si>
    <t xml:space="preserve">Total Active Staff</t>
  </si>
  <si>
    <t xml:space="preserve">Adaptive: STAFF_DB</t>
  </si>
  <si>
    <t xml:space="preserve">Days in Period</t>
  </si>
  <si>
    <t xml:space="preserve">4-week rota cycle</t>
  </si>
  <si>
    <t xml:space="preserve">Day Shift Hours</t>
  </si>
  <si>
    <t xml:space="preserve">hrs</t>
  </si>
  <si>
    <t xml:space="preserve">Adaptive: CONFIG</t>
  </si>
  <si>
    <t xml:space="preserve">Night Shift Hours</t>
  </si>
  <si>
    <t xml:space="preserve">Avg Day Staff Rate</t>
  </si>
  <si>
    <t xml:space="preserve">£/hr</t>
  </si>
  <si>
    <t xml:space="preserve">Adaptive: ROSTER rates</t>
  </si>
  <si>
    <t xml:space="preserve">Avg Night Staff Rate</t>
  </si>
  <si>
    <t xml:space="preserve">Agency Day Rate</t>
  </si>
  <si>
    <t xml:space="preserve">Agency Night Rate</t>
  </si>
  <si>
    <t xml:space="preserve">Rostered Day Heads/day</t>
  </si>
  <si>
    <t xml:space="preserve">Adaptive: ÷2 for Panama rotation</t>
  </si>
  <si>
    <t xml:space="preserve">Rostered Night Heads/day</t>
  </si>
  <si>
    <t xml:space="preserve">Float Pool Size</t>
  </si>
  <si>
    <t xml:space="preserve">Adaptive: ROSTER</t>
  </si>
  <si>
    <t xml:space="preserve">Short-Week OT Pool</t>
  </si>
  <si>
    <t xml:space="preserve">Input: max rested staff/day for OT</t>
  </si>
  <si>
    <t xml:space="preserve">Float Deploy Rate</t>
  </si>
  <si>
    <t xml:space="preserve">Adaptive: avg float rate</t>
  </si>
  <si>
    <t xml:space="preserve">SCENARIO</t>
  </si>
  <si>
    <t xml:space="preserve">Sick
/day</t>
  </si>
  <si>
    <t xml:space="preserve">AL
/day</t>
  </si>
  <si>
    <t xml:space="preserve">Total
Gaps</t>
  </si>
  <si>
    <t xml:space="preserve">Float
Fills</t>
  </si>
  <si>
    <t xml:space="preserve">OT
Fills</t>
  </si>
  <si>
    <t xml:space="preserve">AG Day
Fills</t>
  </si>
  <si>
    <t xml:space="preserve">AG Night
Fills</t>
  </si>
  <si>
    <t xml:space="preserve">Base Staff
£ (28d)</t>
  </si>
  <si>
    <t xml:space="preserve">Float Deploy
£ (28d)</t>
  </si>
  <si>
    <t xml:space="preserve">OT Prem
£ (28d)</t>
  </si>
  <si>
    <t xml:space="preserve">AG Day
£ (28d)</t>
  </si>
  <si>
    <t xml:space="preserve">AG Night
£ (28d)</t>
  </si>
  <si>
    <t xml:space="preserve">BH Prem
£ (28d)</t>
  </si>
  <si>
    <t xml:space="preserve">TOTAL
28-DAY £</t>
  </si>
  <si>
    <t xml:space="preserve">Monthly
£</t>
  </si>
  <si>
    <t xml:space="preserve">ANNUAL £</t>
  </si>
  <si>
    <t xml:space="preserve">CLEAN (Zero disruption)</t>
  </si>
  <si>
    <t xml:space="preserve">TYPICAL WEEK</t>
  </si>
  <si>
    <t xml:space="preserve">BAD WEEK</t>
  </si>
  <si>
    <t xml:space="preserve">CRISIS WEEK</t>
  </si>
  <si>
    <t xml:space="preserve">WORST CASE (Winter/Flu)</t>
  </si>
  <si>
    <t xml:space="preserve">PANDEMIC / NOROVIRUS</t>
  </si>
  <si>
    <t xml:space="preserve">AGENCY KILL IMPACT</t>
  </si>
  <si>
    <t xml:space="preserve">WITHOUT Agency Kill (all gaps → agency day + night split)</t>
  </si>
  <si>
    <t xml:space="preserve">28-day</t>
  </si>
  <si>
    <t xml:space="preserve">/year</t>
  </si>
  <si>
    <t xml:space="preserve">WITH Agency Kill (float → OT → agency last)</t>
  </si>
  <si>
    <t xml:space="preserve">ANNUAL SAVING PER HOME</t>
  </si>
  <si>
    <t xml:space="preserve">Across 10 homes</t>
  </si>
  <si>
    <t xml:space="preserve">Across 30 homes</t>
  </si>
  <si>
    <t xml:space="preserve">WINTER SCENARIOS (Weekly OT Cap)</t>
  </si>
  <si>
    <t xml:space="preserve">×7</t>
  </si>
  <si>
    <t xml:space="preserve">OT/wk cap</t>
  </si>
  <si>
    <t xml:space="preserve">WINTER TYPICAL</t>
  </si>
  <si>
    <t xml:space="preserve">WINTER BAD</t>
  </si>
  <si>
    <t xml:space="preserve">WINTER CRISIS</t>
  </si>
  <si>
    <t xml:space="preserve">WINTER WORST</t>
  </si>
  <si>
    <t xml:space="preserve">NOROVIRUS PEAK</t>
  </si>
  <si>
    <t xml:space="preserve">BEFORE vs AFTER: THE ACQUISITION BUSINESS CASE</t>
  </si>
  <si>
    <t xml:space="preserve">Drop in real numbers from target home. Use in pitch deck and seller meetings.</t>
  </si>
  <si>
    <t xml:space="preserve">CURRENT STATE (Seller's Operation)</t>
  </si>
  <si>
    <t xml:space="preserve">Total Beds</t>
  </si>
  <si>
    <t xml:space="preserve">Blue = editable input</t>
  </si>
  <si>
    <t xml:space="preserve">Occupancy Rate</t>
  </si>
  <si>
    <t xml:space="preserve">Private Pay Mix</t>
  </si>
  <si>
    <t xml:space="preserve">Council Weekly Fee</t>
  </si>
  <si>
    <t xml:space="preserve">£/wk</t>
  </si>
  <si>
    <t xml:space="preserve">Local authority funded</t>
  </si>
  <si>
    <t xml:space="preserve">Private Weekly Fee</t>
  </si>
  <si>
    <t xml:space="preserve">Self-funder rate</t>
  </si>
  <si>
    <t xml:space="preserve">Agency Dependency</t>
  </si>
  <si>
    <t xml:space="preserve">% of shifts filled by agency</t>
  </si>
  <si>
    <t xml:space="preserve">Avg Shifts Needing Cover/day</t>
  </si>
  <si>
    <t xml:space="preserve">Sick + AL + vacancies</t>
  </si>
  <si>
    <t xml:space="preserve">Avg Staff Rate</t>
  </si>
  <si>
    <t xml:space="preserve">Shift Length (Day)</t>
  </si>
  <si>
    <t xml:space="preserve">Night Shift Length</t>
  </si>
  <si>
    <t xml:space="preserve">Occupied Beds</t>
  </si>
  <si>
    <t xml:space="preserve">Council Beds</t>
  </si>
  <si>
    <t xml:space="preserve">Private Beds</t>
  </si>
  <si>
    <t xml:space="preserve">Annual Revenue</t>
  </si>
  <si>
    <t xml:space="preserve">Annual Agency Spend</t>
  </si>
  <si>
    <t xml:space="preserve">Annual Base Staff Cost</t>
  </si>
  <si>
    <t xml:space="preserve">Total Annual Staff Cost</t>
  </si>
  <si>
    <t xml:space="preserve">Est. Annual EBITDA</t>
  </si>
  <si>
    <t xml:space="preserve">EBITDA Margin</t>
  </si>
  <si>
    <t xml:space="preserve">PROJECTED STATE (12 Months Under Our Management)</t>
  </si>
  <si>
    <t xml:space="preserve">Same facility</t>
  </si>
  <si>
    <t xml:space="preserve">Marketing funnel impact</t>
  </si>
  <si>
    <t xml:space="preserve">Lead magnet + ads + funnel</t>
  </si>
  <si>
    <t xml:space="preserve">Same rates</t>
  </si>
  <si>
    <t xml:space="preserve">Premium positioning</t>
  </si>
  <si>
    <t xml:space="preserve">Panama + Agency Kill</t>
  </si>
  <si>
    <t xml:space="preserve">Better retention = fewer gaps</t>
  </si>
  <si>
    <t xml:space="preserve">Slight increase for retention</t>
  </si>
  <si>
    <t xml:space="preserve">Same market rate</t>
  </si>
  <si>
    <t xml:space="preserve">CALCULATED METRICS</t>
  </si>
  <si>
    <t xml:space="preserve">VALUE CREATION SUMMARY</t>
  </si>
  <si>
    <t xml:space="preserve">Revenue Uplift</t>
  </si>
  <si>
    <t xml:space="preserve">EBITDA Uplift</t>
  </si>
  <si>
    <t xml:space="preserve">Agency Cost Reduction</t>
  </si>
  <si>
    <t xml:space="preserve">Agency Dependency Reduction</t>
  </si>
  <si>
    <t xml:space="preserve">ENTERPRISE VALUE IMPACT</t>
  </si>
  <si>
    <t xml:space="preserve">EBITDA Multiple</t>
  </si>
  <si>
    <t xml:space="preserve">x (editable)</t>
  </si>
  <si>
    <t xml:space="preserve">Before EV</t>
  </si>
  <si>
    <t xml:space="preserve">After EV</t>
  </si>
  <si>
    <t xml:space="preserve">VALUE CREATED PER HOME</t>
  </si>
  <si>
    <t xml:space="preserve">Value across 10 homes</t>
  </si>
  <si>
    <t xml:space="preserve">Value across 30 homes</t>
  </si>
  <si>
    <t xml:space="preserve">THE "AGENCY KILLER" PROTOCOL</t>
  </si>
  <si>
    <t xml:space="preserve">SHIFT TIMES (with 15-min Paid Handover)</t>
  </si>
  <si>
    <t xml:space="preserve">Day Shift: 07:45-20:00 (12.25 paid hours)</t>
  </si>
  <si>
    <t xml:space="preserve">Night Shift: 19:45-08:00 (12.25 paid hours)</t>
  </si>
  <si>
    <t xml:space="preserve">Morning Handover: 07:45-08:00 (15 mins overlap)</t>
  </si>
  <si>
    <t xml:space="preserve">Evening Handover: 19:45-20:00 (15 mins overlap)</t>
  </si>
  <si>
    <t xml:space="preserve">Breaks: PAID (no deduction)</t>
  </si>
  <si>
    <t xml:space="preserve">CORE CONCEPT</t>
  </si>
  <si>
    <t xml:space="preserve">The Panama 2-2-3 rotation creates natural "short weeks" for each team.</t>
  </si>
  <si>
    <t xml:space="preserve">During a short week, staff work only 2 days (24.5 hours) instead of 5 days (61.25 hours).</t>
  </si>
  <si>
    <t xml:space="preserve">These staff are RESTED and UNDER-HOURS. They are your Agency Kill targets.</t>
  </si>
  <si>
    <t xml:space="preserve">THE PATTERN (14-day cycle)</t>
  </si>
  <si>
    <t xml:space="preserve">Week 1 - Day A</t>
  </si>
  <si>
    <t xml:space="preserve">ON</t>
  </si>
  <si>
    <t xml:space="preserve">off</t>
  </si>
  <si>
    <t xml:space="preserve">Week 1 - Day B</t>
  </si>
  <si>
    <t xml:space="preserve">Week 2 - Day A</t>
  </si>
  <si>
    <t xml:space="preserve">Week 2 - Day B</t>
  </si>
  <si>
    <t xml:space="preserve">(Night teams follow same pattern)</t>
  </si>
  <si>
    <t xml:space="preserve">WEEKLY HOURS BREAKDOWN</t>
  </si>
  <si>
    <t xml:space="preserve">Long Week (5 days × 12.25hrs): 61.25 hours</t>
  </si>
  <si>
    <t xml:space="preserve">Short Week (2 days × 12.25hrs): 24.5 hours</t>
  </si>
  <si>
    <t xml:space="preserve">Average per week: 42.875 hours (full-time)</t>
  </si>
  <si>
    <t xml:space="preserve">AGENCY KILL TARGETS</t>
  </si>
  <si>
    <t xml:space="preserve">Week 1: Day B staff are on short week (only Wed-Thu) → Target them for gaps Mon/Tue/Fri-Sun</t>
  </si>
  <si>
    <t xml:space="preserve">Week 2: Day A staff are on short week (only Wed-Thu) → Target them for gaps Mon/Tue/Fri-Sun</t>
  </si>
  <si>
    <t xml:space="preserve">GOLD SQUARES IN ROSTER</t>
  </si>
  <si>
    <t xml:space="preserve">Any "OFF" cell highlighted in GOLD = This person is:</t>
  </si>
  <si>
    <t xml:space="preserve">  • On their short week (rested)</t>
  </si>
  <si>
    <t xml:space="preserve">  • Under their normal hours (hungry for money)</t>
  </si>
  <si>
    <t xml:space="preserve">  • Your FIRST call before agency</t>
  </si>
  <si>
    <t xml:space="preserve">THE WORKFLOW</t>
  </si>
  <si>
    <t xml:space="preserve">1. Gap appears (sickness, AL, etc)</t>
  </si>
  <si>
    <t xml:space="preserve">2. Look at ROSTER for that day</t>
  </si>
  <si>
    <t xml:space="preserve">3. Find GOLD squares = These are your targets</t>
  </si>
  <si>
    <t xml:space="preserve">4. Call them: "Want a shift? +£2/hr bonus"</t>
  </si>
  <si>
    <t xml:space="preserve">5. If they accept: Change their cell from OFF to OC-EL (On-Call Full Day)</t>
  </si>
  <si>
    <t xml:space="preserve">6. The cost tracker updates automatically</t>
  </si>
  <si>
    <t xml:space="preserve">THE ECONOMICS (12.25-hour shifts)</t>
  </si>
  <si>
    <t xml:space="preserve">Agency Day shift: £22/hr × 12.25 = £269.50</t>
  </si>
  <si>
    <t xml:space="preserve">Internal OT shift: £12.50/hr × 12.25 + £2 × 12.25 = £177.63</t>
  </si>
  <si>
    <t xml:space="preserve">SAVINGS PER SHIFT: £91.87</t>
  </si>
  <si>
    <t xml:space="preserve">Agency Night shift: £28/hr × 12.25 = £343</t>
  </si>
  <si>
    <t xml:space="preserve">Internal OT Night: £13/hr × 12.25 + £2 × 12.25 = £183.75</t>
  </si>
  <si>
    <t xml:space="preserve">SAVINGS PER NIGHT: £159.25</t>
  </si>
  <si>
    <t xml:space="preserve">FLOAT POOL RULES</t>
  </si>
  <si>
    <t xml:space="preserve">Your 3 Float staff show as "AVL" (Available) every day.</t>
  </si>
  <si>
    <t xml:space="preserve">Use them BEFORE calling overtime:</t>
  </si>
  <si>
    <t xml:space="preserve">  • Change AVL → EL for day floor coverage</t>
  </si>
  <si>
    <t xml:space="preserve">  • Change AVL → ADM for admin/paperwork</t>
  </si>
  <si>
    <t xml:space="preserve">  • Change AVL → TRN for training</t>
  </si>
  <si>
    <t xml:space="preserve">Floats get base hours, not OT premium (they are scheduled, not called in).</t>
  </si>
  <si>
    <t xml:space="preserve">FATIGUE PROTECTION</t>
  </si>
  <si>
    <t xml:space="preserve">Do NOT assign OT to anyone who has worked 5+ consecutive days.</t>
  </si>
  <si>
    <t xml:space="preserve">Check the FATIGUE_TRACKER tab before assigning overtime.</t>
  </si>
  <si>
    <t xml:space="preserve">Purple = BLOCK from further OT until they rest.</t>
  </si>
  <si>
    <t xml:space="preserve">HANDOVER PROTOCOL</t>
  </si>
  <si>
    <t xml:space="preserve">07:45: Day staff arrive, Night staff brief them (15 mins)</t>
  </si>
  <si>
    <t xml:space="preserve">08:00: Night staff leave, Day staff take over</t>
  </si>
  <si>
    <t xml:space="preserve">19:45: Night staff arrive, Day staff brief them (15 mins)</t>
  </si>
  <si>
    <t xml:space="preserve">20:00: Day staff leave, Night staff take over</t>
  </si>
  <si>
    <t xml:space="preserve">Both teams are PAID for the 15-min handover overlap.</t>
  </si>
  <si>
    <t xml:space="preserve">FATIGUE MONITOR (v7 — Float-Aware)</t>
  </si>
  <si>
    <t xml:space="preserve">Counts consecutive WORKING days. Float AVL = rest. Float deployed (any work code) = working.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</si>
  <si>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</si>
  <si>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</si>
  <si>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</si>
  <si>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</si>
  <si>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</si>
  <si>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</si>
  <si>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</si>
  <si>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</si>
  <si>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</si>
  <si>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</si>
  <si>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</si>
  <si>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</si>
  <si>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</si>
  <si>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</si>
  <si>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</si>
  <si>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</si>
  <si>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</si>
  <si>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</si>
  <si>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</si>
  <si>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</si>
  <si>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</si>
  <si>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</si>
  <si>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</si>
  <si>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</si>
  <si>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</si>
  <si>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</si>
  <si>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</si>
  <si>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</si>
  <si>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Max Run</t>
  </si>
  <si>
    <t xml:space="preserve">Wk Avg</t>
  </si>
  <si>
    <t xml:space="preserve">WTR</t>
  </si>
  <si>
    <t xml:space="preserve">STAFFING DASHBOARD (v7)</t>
  </si>
  <si>
    <t xml:space="preserve">28-DAY METRICS</t>
  </si>
  <si>
    <t xml:space="preserve">SHIFT CODES</t>
  </si>
  <si>
    <t xml:space="preserve">Total Hours Worked</t>
  </si>
  <si>
    <t xml:space="preserve">Early 6hrs</t>
  </si>
  <si>
    <t xml:space="preserve">Base Wage Cost</t>
  </si>
  <si>
    <t xml:space="preserve">Late 6hrs</t>
  </si>
  <si>
    <t xml:space="preserve">OT Premium Paid</t>
  </si>
  <si>
    <t xml:space="preserve">Full Day 12hrs</t>
  </si>
  <si>
    <t xml:space="preserve">08:00-20:00</t>
  </si>
  <si>
    <t xml:space="preserve">Agency Day Cost</t>
  </si>
  <si>
    <t xml:space="preserve">Night 12hrs</t>
  </si>
  <si>
    <t xml:space="preserve">19:30-08:30</t>
  </si>
  <si>
    <t xml:space="preserve">Agency Night Cost</t>
  </si>
  <si>
    <t xml:space="preserve">Day Off</t>
  </si>
  <si>
    <t xml:space="preserve">Annual Leave</t>
  </si>
  <si>
    <t xml:space="preserve">TOTAL 28-DAY COST</t>
  </si>
  <si>
    <t xml:space="preserve">SICK</t>
  </si>
  <si>
    <t xml:space="preserve">Sickness</t>
  </si>
  <si>
    <t xml:space="preserve">ADM</t>
  </si>
  <si>
    <t xml:space="preserve">Admin</t>
  </si>
  <si>
    <t xml:space="preserve">Float base</t>
  </si>
  <si>
    <t xml:space="preserve">Avg Daily Cost</t>
  </si>
  <si>
    <t xml:space="preserve">TRN</t>
  </si>
  <si>
    <t xml:space="preserve">Training</t>
  </si>
  <si>
    <t xml:space="preserve">Available</t>
  </si>
  <si>
    <t xml:space="preserve">Float standby</t>
  </si>
  <si>
    <t xml:space="preserve">STAFF DEPLOYMENT</t>
  </si>
  <si>
    <t xml:space="preserve">OC-E</t>
  </si>
  <si>
    <t xml:space="preserve">On-Call Early</t>
  </si>
  <si>
    <t xml:space="preserve">+£2/hr (6hrs)</t>
  </si>
  <si>
    <t xml:space="preserve">OC-L</t>
  </si>
  <si>
    <t xml:space="preserve">On-Call Late</t>
  </si>
  <si>
    <t xml:space="preserve">OC-EL</t>
  </si>
  <si>
    <t xml:space="preserve">On-Call Full</t>
  </si>
  <si>
    <t xml:space="preserve">+£2/hr (12hrs)</t>
  </si>
  <si>
    <t xml:space="preserve">OC-N</t>
  </si>
  <si>
    <t xml:space="preserve">On-Call Night</t>
  </si>
  <si>
    <t xml:space="preserve">AG-E</t>
  </si>
  <si>
    <t xml:space="preserve">Agency Early</t>
  </si>
  <si>
    <t xml:space="preserve">£22/hr</t>
  </si>
  <si>
    <t xml:space="preserve">AG-L</t>
  </si>
  <si>
    <t xml:space="preserve">Agency Late</t>
  </si>
  <si>
    <t xml:space="preserve">TOTAL</t>
  </si>
  <si>
    <t xml:space="preserve">AG-N</t>
  </si>
  <si>
    <t xml:space="preserve">£28/hr</t>
  </si>
  <si>
    <t xml:space="preserve">SCENARIO PROJECTIONS (Annual)</t>
  </si>
  <si>
    <t xml:space="preserve">BH-D</t>
  </si>
  <si>
    <t xml:space="preserve">Bank Holiday Day</t>
  </si>
  <si>
    <t xml:space="preserve">rate x 1.5</t>
  </si>
  <si>
    <t xml:space="preserve">BH-N</t>
  </si>
  <si>
    <t xml:space="preserve">Bank Holiday Night</t>
  </si>
  <si>
    <t xml:space="preserve">AGENCY KILL ANNUAL SAVING</t>
  </si>
  <si>
    <t xml:space="preserve">SHIFT CODE REFERENCE</t>
  </si>
  <si>
    <t xml:space="preserve">Early (6hr)</t>
  </si>
  <si>
    <t xml:space="preserve">Late (6hr)</t>
  </si>
  <si>
    <t xml:space="preserve">Full Day (12.25hr)</t>
  </si>
  <si>
    <t xml:space="preserve">Night (12.25hr)</t>
  </si>
  <si>
    <t xml:space="preserve">Sick Leave</t>
  </si>
  <si>
    <t xml:space="preserve">Float Available</t>
  </si>
  <si>
    <t xml:space="preserve">OC-E/L/EL/N</t>
  </si>
  <si>
    <t xml:space="preserve">On-Call (OT prem)</t>
  </si>
  <si>
    <t xml:space="preserve">AG-E/L/N</t>
  </si>
  <si>
    <t xml:space="preserve">Agency Cover</t>
  </si>
  <si>
    <t xml:space="preserve">BH-D/BH-N</t>
  </si>
  <si>
    <t xml:space="preserve">Bank Holiday</t>
  </si>
  <si>
    <t xml:space="preserve">FULL P&amp;L — ACQUISITION BUSINESS CASE</t>
  </si>
  <si>
    <t xml:space="preserve">BEFORE</t>
  </si>
  <si>
    <t xml:space="preserve">YEAR 1</t>
  </si>
  <si>
    <t xml:space="preserve">YEAR 2</t>
  </si>
  <si>
    <t xml:space="preserve">REVENUE</t>
  </si>
  <si>
    <t xml:space="preserve">Beds</t>
  </si>
  <si>
    <t xml:space="preserve">Occupancy</t>
  </si>
  <si>
    <t xml:space="preserve">Occupied</t>
  </si>
  <si>
    <t xml:space="preserve">Council £/wk</t>
  </si>
  <si>
    <t xml:space="preserve">Private £/wk</t>
  </si>
  <si>
    <t xml:space="preserve">Private Mix</t>
  </si>
  <si>
    <t xml:space="preserve">TOTAL REVENUE</t>
  </si>
  <si>
    <t xml:space="preserve">COSTS</t>
  </si>
  <si>
    <t xml:space="preserve">Direct Care Wages</t>
  </si>
  <si>
    <t xml:space="preserve">Model +5% NLW +3% Yr2</t>
  </si>
  <si>
    <t xml:space="preserve">Agency Spend</t>
  </si>
  <si>
    <t xml:space="preserve">OT Premiums</t>
  </si>
  <si>
    <t xml:space="preserve">DIRECT CARE TOTAL</t>
  </si>
  <si>
    <t xml:space="preserve">Non-Care Staff</t>
  </si>
  <si>
    <t xml:space="preserve">Reg Manager</t>
  </si>
  <si>
    <t xml:space="preserve">Deputy</t>
  </si>
  <si>
    <t xml:space="preserve">Kitchen ×2</t>
  </si>
  <si>
    <t xml:space="preserve">Domestic ×2.5</t>
  </si>
  <si>
    <t xml:space="preserve">Maintenance</t>
  </si>
  <si>
    <t xml:space="preserve">NON-CARE TOTAL</t>
  </si>
  <si>
    <t xml:space="preserve">Employer NI 15% (2025/26)</t>
  </si>
  <si>
    <t xml:space="preserve">13.8% after £9,100/employee threshold (33 staff)</t>
  </si>
  <si>
    <t xml:space="preserve">Pension 3%</t>
  </si>
  <si>
    <t xml:space="preserve">Recruitment &amp; Training</t>
  </si>
  <si>
    <t xml:space="preserve">ON-COSTS TOTAL</t>
  </si>
  <si>
    <t xml:space="preserve">ALL-IN STAFF COST</t>
  </si>
  <si>
    <t xml:space="preserve">Staff % Revenue</t>
  </si>
  <si>
    <t xml:space="preserve">Industry: 59-60%. Target: 52-56%</t>
  </si>
  <si>
    <t xml:space="preserve">Property &amp; Ops</t>
  </si>
  <si>
    <t xml:space="preserve">Food &amp; Catering</t>
  </si>
  <si>
    <t xml:space="preserve">Utilities</t>
  </si>
  <si>
    <t xml:space="preserve">Insurance</t>
  </si>
  <si>
    <t xml:space="preserve">CQC &amp; Compliance</t>
  </si>
  <si>
    <t xml:space="preserve">IT &amp; Systems</t>
  </si>
  <si>
    <t xml:space="preserve">Marketing</t>
  </si>
  <si>
    <t xml:space="preserve">Sundries</t>
  </si>
  <si>
    <t xml:space="preserve">Winter Prep Fund</t>
  </si>
  <si>
    <t xml:space="preserve">OPS TOTAL</t>
  </si>
  <si>
    <t xml:space="preserve">TOTAL COSTS</t>
  </si>
  <si>
    <t xml:space="preserve">EBITDA</t>
  </si>
  <si>
    <t xml:space="preserve">Industry: 7-17%. Target: 15-22%</t>
  </si>
  <si>
    <t xml:space="preserve">Enterprise Value</t>
  </si>
  <si>
    <t xml:space="preserve">VALUE CREATED</t>
  </si>
  <si>
    <t xml:space="preserve">—</t>
  </si>
  <si>
    <t xml:space="preserve">×10 homes</t>
  </si>
  <si>
    <t xml:space="preserve">×30 homes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</si>
</sst>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[RED]&quot;-£&quot;#,##0"/>
    <numFmt numFmtId="166" formatCode="\£#,##0"/>
    <numFmt numFmtId="167" formatCode="0.0%"/>
    <numFmt numFmtId="168" formatCode="yyyy\-mm\-dd"/>
    <numFmt numFmtId="169" formatCode="General"/>
    <numFmt numFmtId="170" formatCode="\£#,##0.00"/>
    <numFmt numFmtId="171" formatCode="0%"/>
    <numFmt numFmtId="172" formatCode="0.0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0000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CC66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3"/>
      <color rgb="FFFF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B8860B"/>
      <name val="Cambria"/>
      <family val="0"/>
      <charset val="1"/>
    </font>
    <font>
      <sz val="11"/>
      <color rgb="FFFFFFFF"/>
      <name val="Cambria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2"/>
      <color rgb="FF008000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6"/>
      <color rgb="FF1F7A1F"/>
      <name val="Arial"/>
      <family val="0"/>
      <charset val="1"/>
    </font>
    <font>
      <b val="true"/>
      <sz val="12"/>
      <color rgb="FF1F7A1F"/>
      <name val="Arial"/>
      <family val="0"/>
      <charset val="1"/>
    </font>
    <font>
      <b val="true"/>
      <sz val="13"/>
      <color rgb="FF008000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1F7A1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1F7A1F"/>
      <name val="Arial"/>
      <family val="0"/>
      <charset val="1"/>
    </font>
    <font>
      <sz val="11"/>
      <color rgb="FF800080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4"/>
      <color rgb="FF008000"/>
      <name val="Cambria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D9E1F2"/>
        <bgColor rgb="FFDDDDDD"/>
      </patternFill>
    </fill>
    <fill>
      <patternFill patternType="solid">
        <fgColor rgb="FFE8F5E9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FCE4EC"/>
        <bgColor rgb="FFF5F5F5"/>
      </patternFill>
    </fill>
    <fill>
      <patternFill patternType="solid">
        <fgColor rgb="FF1F4E79"/>
        <bgColor rgb="FF2F5496"/>
      </patternFill>
    </fill>
    <fill>
      <patternFill patternType="solid">
        <fgColor rgb="FFF5F5F5"/>
        <bgColor rgb="FFE8F5E9"/>
      </patternFill>
    </fill>
    <fill>
      <patternFill patternType="solid">
        <fgColor rgb="FF4B0082"/>
        <bgColor rgb="FF800080"/>
      </patternFill>
    </fill>
    <fill>
      <patternFill patternType="solid">
        <fgColor rgb="FF2F5496"/>
        <bgColor rgb="FF1F4E79"/>
      </patternFill>
    </fill>
    <fill>
      <patternFill patternType="solid">
        <fgColor rgb="FFC6EFCE"/>
        <bgColor rgb="FFD9E1F2"/>
      </patternFill>
    </fill>
    <fill>
      <patternFill patternType="solid">
        <fgColor rgb="FFFFE0B2"/>
        <bgColor rgb="FFFFF2CC"/>
      </patternFill>
    </fill>
    <fill>
      <patternFill patternType="solid">
        <fgColor rgb="FFFFC7CE"/>
        <bgColor rgb="FFFFB6C1"/>
      </patternFill>
    </fill>
    <fill>
      <patternFill patternType="solid">
        <fgColor rgb="FFD5D5D5"/>
        <bgColor rgb="FFDDDDDD"/>
      </patternFill>
    </fill>
    <fill>
      <patternFill patternType="solid">
        <fgColor rgb="FFFFD700"/>
        <bgColor rgb="FFFFFF00"/>
      </patternFill>
    </fill>
    <fill>
      <patternFill patternType="solid">
        <fgColor rgb="FFC00000"/>
        <bgColor rgb="FFCC0000"/>
      </patternFill>
    </fill>
    <fill>
      <patternFill patternType="solid">
        <fgColor rgb="FF1F7A1F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8888"/>
        </patternFill>
      </fill>
    </dxf>
    <dxf>
      <fill>
        <patternFill>
          <bgColor rgb="FFFFEE88"/>
        </patternFill>
      </fill>
    </dxf>
    <dxf>
      <fill>
        <patternFill>
          <bgColor rgb="FF88CCFF"/>
        </patternFill>
      </fill>
    </dxf>
    <dxf>
      <fill>
        <patternFill>
          <bgColor rgb="FFDDDDDD"/>
        </patternFill>
      </fill>
    </dxf>
    <dxf>
      <fill>
        <patternFill>
          <bgColor rgb="FFFFD700"/>
        </patternFill>
      </fill>
    </dxf>
    <dxf>
      <fill>
        <patternFill>
          <bgColor rgb="FF90EE90"/>
        </patternFill>
      </fill>
    </dxf>
    <dxf>
      <fill>
        <patternFill>
          <bgColor rgb="FFFFB6C1"/>
        </patternFill>
      </fill>
    </dxf>
    <dxf>
      <fill>
        <patternFill>
          <bgColor rgb="FFFFA500"/>
        </patternFill>
      </fill>
    </dxf>
    <dxf>
      <fill>
        <patternFill>
          <bgColor rgb="FFFF6B6B"/>
        </patternFill>
      </fill>
    </dxf>
    <dxf>
      <fill>
        <patternFill>
          <bgColor rgb="FF993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EC"/>
      <rgbColor rgb="FFFF00FF"/>
      <rgbColor rgb="FF00FFFF"/>
      <rgbColor rgb="FFC00000"/>
      <rgbColor rgb="FF008000"/>
      <rgbColor rgb="FF000080"/>
      <rgbColor rgb="FFB8860B"/>
      <rgbColor rgb="FF800080"/>
      <rgbColor rgb="FF008080"/>
      <rgbColor rgb="FFDDDDDD"/>
      <rgbColor rgb="FF888888"/>
      <rgbColor rgb="FFD9E1F2"/>
      <rgbColor rgb="FF9932CC"/>
      <rgbColor rgb="FFFFF2CC"/>
      <rgbColor rgb="FFE8F5E9"/>
      <rgbColor rgb="FF4B0082"/>
      <rgbColor rgb="FFFF8888"/>
      <rgbColor rgb="FF0066CC"/>
      <rgbColor rgb="FFD5D5D5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F5F5F5"/>
      <rgbColor rgb="FFC6EFCE"/>
      <rgbColor rgb="FFFFEE88"/>
      <rgbColor rgb="FF88CCFF"/>
      <rgbColor rgb="FFFFB6C1"/>
      <rgbColor rgb="FFFFC7CE"/>
      <rgbColor rgb="FFFFE0B2"/>
      <rgbColor rgb="FF3366FF"/>
      <rgbColor rgb="FF33CCCC"/>
      <rgbColor rgb="FF90EE90"/>
      <rgbColor rgb="FFFFD700"/>
      <rgbColor rgb="FFFFA500"/>
      <rgbColor rgb="FFCC6600"/>
      <rgbColor rgb="FF666666"/>
      <rgbColor rgb="FFFF6B6B"/>
      <rgbColor rgb="FF1F4E79"/>
      <rgbColor rgb="FF1F7A1F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8"/>
    <col collapsed="false" customWidth="true" hidden="false" outlineLevel="0" max="7" min="7" style="1" width="38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7.25" hidden="false" customHeight="true" outlineLevel="0" collapsed="false">
      <c r="A3" s="4" t="s">
        <v>2</v>
      </c>
      <c r="B3" s="5" t="n">
        <v>1</v>
      </c>
      <c r="C3" s="1" t="s">
        <v>3</v>
      </c>
    </row>
    <row r="4" customFormat="false" ht="15" hidden="false" customHeight="true" outlineLevel="0" collapsed="false">
      <c r="A4" s="1" t="s">
        <v>4</v>
      </c>
      <c r="B4" s="1" t="str">
        <f aca="false">CHOOSE(MOD(B3-1,7)+1,"Mon","Tue","Wed","Thu","Fri","Sat","Sun")</f>
        <v>Mon</v>
      </c>
    </row>
    <row r="6" customFormat="false" ht="15.75" hidden="false" customHeight="true" outlineLevel="0" collapsed="false">
      <c r="A6" s="6" t="s">
        <v>5</v>
      </c>
    </row>
    <row r="7" customFormat="false" ht="15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/>
      <c r="G7" s="7" t="s">
        <v>11</v>
      </c>
    </row>
    <row r="8" customFormat="false" ht="15" hidden="false" customHeight="true" outlineLevel="0" collapsed="false">
      <c r="A8" s="1" t="str">
        <f aca="false">ROSTER!A4</f>
        <v>Alice Johnson</v>
      </c>
      <c r="B8" s="1" t="str">
        <f aca="false">ROSTER!B4</f>
        <v>Day A</v>
      </c>
      <c r="C8" s="1" t="n">
        <f aca="false">ROSTER!D4</f>
        <v>1</v>
      </c>
      <c r="D8" s="8" t="str">
        <f aca="false">IF(OR($B$3&lt;1,$B$3&gt;28),"—",INDEX(ROSTER!E4:AF4,1,$B$3))</f>
        <v>EL</v>
      </c>
      <c r="E8" s="1" t="str">
        <f aca="false">IF(D8="SICK","🔴 SICK",IF(D8="AL","🟡 AL",IF(D8="OFF","⬜ OFF",IF(D8="AVL","🔵 FLOAT",IF(OR(D8="AG-E",D8="AG-L",D8="AG-N"),"🟠 AGENCY",IF(OR(D8="OC-E",D8="OC-L",D8="OC-EL",D8="OC-N"),"🟣 ON-CALL","🟢 WORKING"))))))</f>
        <v>🟢 WORKING</v>
      </c>
      <c r="G8" s="9" t="str">
        <f aca="false">IF(D8="SICK","⚡ FIND COVER — check Available list below",IF(D8="AVL","Ready to deploy if gap arises",IF(OR(D8="AG-E",D8="AG-L",D8="AG-N"),"Confirm agency arrival. Handover pack ready?","")))</f>
        <v/>
      </c>
    </row>
    <row r="9" customFormat="false" ht="15" hidden="false" customHeight="true" outlineLevel="0" collapsed="false">
      <c r="A9" s="1" t="str">
        <f aca="false">ROSTER!A5</f>
        <v>Bob Smith</v>
      </c>
      <c r="B9" s="1" t="str">
        <f aca="false">ROSTER!B5</f>
        <v>Day A</v>
      </c>
      <c r="C9" s="1" t="n">
        <f aca="false">ROSTER!D5</f>
        <v>0.5</v>
      </c>
      <c r="D9" s="8" t="str">
        <f aca="false">IF(OR($B$3&lt;1,$B$3&gt;28),"—",INDEX(ROSTER!E5:AF5,1,$B$3))</f>
        <v>EL</v>
      </c>
      <c r="E9" s="1" t="str">
        <f aca="false">IF(D9="SICK","🔴 SICK",IF(D9="AL","🟡 AL",IF(D9="OFF","⬜ OFF",IF(D9="AVL","🔵 FLOAT",IF(OR(D9="AG-E",D9="AG-L",D9="AG-N"),"🟠 AGENCY",IF(OR(D9="OC-E",D9="OC-L",D9="OC-EL",D9="OC-N"),"🟣 ON-CALL","🟢 WORKING"))))))</f>
        <v>🟢 WORKING</v>
      </c>
      <c r="G9" s="9" t="str">
        <f aca="false">IF(D9="SICK","⚡ FIND COVER — check Available list below",IF(D9="AVL","Ready to deploy if gap arises",IF(OR(D9="AG-E",D9="AG-L",D9="AG-N"),"Confirm agency arrival. Handover pack ready?","")))</f>
        <v/>
      </c>
    </row>
    <row r="10" customFormat="false" ht="15" hidden="false" customHeight="true" outlineLevel="0" collapsed="false">
      <c r="A10" s="1" t="str">
        <f aca="false">ROSTER!A6</f>
        <v>Carol Davis</v>
      </c>
      <c r="B10" s="1" t="str">
        <f aca="false">ROSTER!B6</f>
        <v>Day A</v>
      </c>
      <c r="C10" s="1" t="n">
        <f aca="false">ROSTER!D6</f>
        <v>1</v>
      </c>
      <c r="D10" s="8" t="str">
        <f aca="false">IF(OR($B$3&lt;1,$B$3&gt;28),"—",INDEX(ROSTER!E6:AF6,1,$B$3))</f>
        <v>EL</v>
      </c>
      <c r="E10" s="1" t="str">
        <f aca="false">IF(D10="SICK","🔴 SICK",IF(D10="AL","🟡 AL",IF(D10="OFF","⬜ OFF",IF(D10="AVL","🔵 FLOAT",IF(OR(D10="AG-E",D10="AG-L",D10="AG-N"),"🟠 AGENCY",IF(OR(D10="OC-E",D10="OC-L",D10="OC-EL",D10="OC-N"),"🟣 ON-CALL","🟢 WORKING"))))))</f>
        <v>🟢 WORKING</v>
      </c>
      <c r="G10" s="9" t="str">
        <f aca="false">IF(D10="SICK","⚡ FIND COVER — check Available list below",IF(D10="AVL","Ready to deploy if gap arises",IF(OR(D10="AG-E",D10="AG-L",D10="AG-N"),"Confirm agency arrival. Handover pack ready?","")))</f>
        <v/>
      </c>
    </row>
    <row r="11" customFormat="false" ht="15" hidden="false" customHeight="true" outlineLevel="0" collapsed="false">
      <c r="A11" s="1" t="str">
        <f aca="false">ROSTER!A7</f>
        <v>David Wilson</v>
      </c>
      <c r="B11" s="1" t="str">
        <f aca="false">ROSTER!B7</f>
        <v>Day A</v>
      </c>
      <c r="C11" s="1" t="n">
        <f aca="false">ROSTER!D7</f>
        <v>0.5</v>
      </c>
      <c r="D11" s="8" t="str">
        <f aca="false">IF(OR($B$3&lt;1,$B$3&gt;28),"—",INDEX(ROSTER!E7:AF7,1,$B$3))</f>
        <v>EL</v>
      </c>
      <c r="E11" s="1" t="str">
        <f aca="false">IF(D11="SICK","🔴 SICK",IF(D11="AL","🟡 AL",IF(D11="OFF","⬜ OFF",IF(D11="AVL","🔵 FLOAT",IF(OR(D11="AG-E",D11="AG-L",D11="AG-N"),"🟠 AGENCY",IF(OR(D11="OC-E",D11="OC-L",D11="OC-EL",D11="OC-N"),"🟣 ON-CALL","🟢 WORKING"))))))</f>
        <v>🟢 WORKING</v>
      </c>
      <c r="G11" s="9" t="str">
        <f aca="false">IF(D11="SICK","⚡ FIND COVER — check Available list below",IF(D11="AVL","Ready to deploy if gap arises",IF(OR(D11="AG-E",D11="AG-L",D11="AG-N"),"Confirm agency arrival. Handover pack ready?","")))</f>
        <v/>
      </c>
    </row>
    <row r="12" customFormat="false" ht="15" hidden="false" customHeight="true" outlineLevel="0" collapsed="false">
      <c r="A12" s="1" t="str">
        <f aca="false">ROSTER!A8</f>
        <v>Emma Brown</v>
      </c>
      <c r="B12" s="1" t="str">
        <f aca="false">ROSTER!B8</f>
        <v>Day A</v>
      </c>
      <c r="C12" s="1" t="n">
        <f aca="false">ROSTER!D8</f>
        <v>1.5</v>
      </c>
      <c r="D12" s="8" t="str">
        <f aca="false">IF(OR($B$3&lt;1,$B$3&gt;28),"—",INDEX(ROSTER!E8:AF8,1,$B$3))</f>
        <v>EL</v>
      </c>
      <c r="E12" s="1" t="str">
        <f aca="false">IF(D12="SICK","🔴 SICK",IF(D12="AL","🟡 AL",IF(D12="OFF","⬜ OFF",IF(D12="AVL","🔵 FLOAT",IF(OR(D12="AG-E",D12="AG-L",D12="AG-N"),"🟠 AGENCY",IF(OR(D12="OC-E",D12="OC-L",D12="OC-EL",D12="OC-N"),"🟣 ON-CALL","🟢 WORKING"))))))</f>
        <v>🟢 WORKING</v>
      </c>
      <c r="G12" s="9" t="str">
        <f aca="false">IF(D12="SICK","⚡ FIND COVER — check Available list below",IF(D12="AVL","Ready to deploy if gap arises",IF(OR(D12="AG-E",D12="AG-L",D12="AG-N"),"Confirm agency arrival. Handover pack ready?","")))</f>
        <v/>
      </c>
    </row>
    <row r="13" customFormat="false" ht="15" hidden="false" customHeight="true" outlineLevel="0" collapsed="false">
      <c r="A13" s="1" t="str">
        <f aca="false">ROSTER!A9</f>
        <v>Fiona Hart</v>
      </c>
      <c r="B13" s="1" t="str">
        <f aca="false">ROSTER!B9</f>
        <v>Day A</v>
      </c>
      <c r="C13" s="1" t="n">
        <f aca="false">ROSTER!D9</f>
        <v>0.5</v>
      </c>
      <c r="D13" s="8" t="str">
        <f aca="false">IF(OR($B$3&lt;1,$B$3&gt;28),"—",INDEX(ROSTER!E9:AF9,1,$B$3))</f>
        <v>EL</v>
      </c>
      <c r="E13" s="1" t="str">
        <f aca="false">IF(D13="SICK","🔴 SICK",IF(D13="AL","🟡 AL",IF(D13="OFF","⬜ OFF",IF(D13="AVL","🔵 FLOAT",IF(OR(D13="AG-E",D13="AG-L",D13="AG-N"),"🟠 AGENCY",IF(OR(D13="OC-E",D13="OC-L",D13="OC-EL",D13="OC-N"),"🟣 ON-CALL","🟢 WORKING"))))))</f>
        <v>🟢 WORKING</v>
      </c>
      <c r="G13" s="9" t="str">
        <f aca="false">IF(D13="SICK","⚡ FIND COVER — check Available list below",IF(D13="AVL","Ready to deploy if gap arises",IF(OR(D13="AG-E",D13="AG-L",D13="AG-N"),"Confirm agency arrival. Handover pack ready?","")))</f>
        <v/>
      </c>
    </row>
    <row r="14" customFormat="false" ht="15" hidden="false" customHeight="true" outlineLevel="0" collapsed="false">
      <c r="A14" s="1" t="str">
        <f aca="false">ROSTER!A10</f>
        <v>George King</v>
      </c>
      <c r="B14" s="1" t="str">
        <f aca="false">ROSTER!B10</f>
        <v>Day A</v>
      </c>
      <c r="C14" s="1" t="n">
        <f aca="false">ROSTER!D10</f>
        <v>1</v>
      </c>
      <c r="D14" s="8" t="str">
        <f aca="false">IF(OR($B$3&lt;1,$B$3&gt;28),"—",INDEX(ROSTER!E10:AF10,1,$B$3))</f>
        <v>EL</v>
      </c>
      <c r="E14" s="1" t="str">
        <f aca="false">IF(D14="SICK","🔴 SICK",IF(D14="AL","🟡 AL",IF(D14="OFF","⬜ OFF",IF(D14="AVL","🔵 FLOAT",IF(OR(D14="AG-E",D14="AG-L",D14="AG-N"),"🟠 AGENCY",IF(OR(D14="OC-E",D14="OC-L",D14="OC-EL",D14="OC-N"),"🟣 ON-CALL","🟢 WORKING"))))))</f>
        <v>🟢 WORKING</v>
      </c>
      <c r="G14" s="9" t="str">
        <f aca="false">IF(D14="SICK","⚡ FIND COVER — check Available list below",IF(D14="AVL","Ready to deploy if gap arises",IF(OR(D14="AG-E",D14="AG-L",D14="AG-N"),"Confirm agency arrival. Handover pack ready?","")))</f>
        <v/>
      </c>
    </row>
    <row r="15" customFormat="false" ht="15" hidden="false" customHeight="true" outlineLevel="0" collapsed="false">
      <c r="A15" s="1" t="str">
        <f aca="false">ROSTER!A11</f>
        <v>Hannah Lee</v>
      </c>
      <c r="B15" s="1" t="str">
        <f aca="false">ROSTER!B11</f>
        <v>Day B</v>
      </c>
      <c r="C15" s="1" t="n">
        <f aca="false">ROSTER!D11</f>
        <v>1</v>
      </c>
      <c r="D15" s="8" t="str">
        <f aca="false">IF(OR($B$3&lt;1,$B$3&gt;28),"—",INDEX(ROSTER!E11:AF11,1,$B$3))</f>
        <v>OFF</v>
      </c>
      <c r="E15" s="1" t="str">
        <f aca="false">IF(D15="SICK","🔴 SICK",IF(D15="AL","🟡 AL",IF(D15="OFF","⬜ OFF",IF(D15="AVL","🔵 FLOAT",IF(OR(D15="AG-E",D15="AG-L",D15="AG-N"),"🟠 AGENCY",IF(OR(D15="OC-E",D15="OC-L",D15="OC-EL",D15="OC-N"),"🟣 ON-CALL","🟢 WORKING"))))))</f>
        <v>⬜ OFF</v>
      </c>
      <c r="G15" s="9" t="str">
        <f aca="false">IF(D15="SICK","⚡ FIND COVER — check Available list below",IF(D15="AVL","Ready to deploy if gap arises",IF(OR(D15="AG-E",D15="AG-L",D15="AG-N"),"Confirm agency arrival. Handover pack ready?","")))</f>
        <v/>
      </c>
    </row>
    <row r="16" customFormat="false" ht="15" hidden="false" customHeight="true" outlineLevel="0" collapsed="false">
      <c r="A16" s="1" t="str">
        <f aca="false">ROSTER!A12</f>
        <v>Ian Clark</v>
      </c>
      <c r="B16" s="1" t="str">
        <f aca="false">ROSTER!B12</f>
        <v>Day B</v>
      </c>
      <c r="C16" s="1" t="n">
        <f aca="false">ROSTER!D12</f>
        <v>0.5</v>
      </c>
      <c r="D16" s="8" t="str">
        <f aca="false">IF(OR($B$3&lt;1,$B$3&gt;28),"—",INDEX(ROSTER!E12:AF12,1,$B$3))</f>
        <v>OFF</v>
      </c>
      <c r="E16" s="1" t="str">
        <f aca="false">IF(D16="SICK","🔴 SICK",IF(D16="AL","🟡 AL",IF(D16="OFF","⬜ OFF",IF(D16="AVL","🔵 FLOAT",IF(OR(D16="AG-E",D16="AG-L",D16="AG-N"),"🟠 AGENCY",IF(OR(D16="OC-E",D16="OC-L",D16="OC-EL",D16="OC-N"),"🟣 ON-CALL","🟢 WORKING"))))))</f>
        <v>⬜ OFF</v>
      </c>
      <c r="G16" s="9" t="str">
        <f aca="false">IF(D16="SICK","⚡ FIND COVER — check Available list below",IF(D16="AVL","Ready to deploy if gap arises",IF(OR(D16="AG-E",D16="AG-L",D16="AG-N"),"Confirm agency arrival. Handover pack ready?","")))</f>
        <v/>
      </c>
    </row>
    <row r="17" customFormat="false" ht="15" hidden="false" customHeight="true" outlineLevel="0" collapsed="false">
      <c r="A17" s="1" t="str">
        <f aca="false">ROSTER!A13</f>
        <v>Julia Martin</v>
      </c>
      <c r="B17" s="1" t="str">
        <f aca="false">ROSTER!B13</f>
        <v>Day B</v>
      </c>
      <c r="C17" s="1" t="n">
        <f aca="false">ROSTER!D13</f>
        <v>1</v>
      </c>
      <c r="D17" s="8" t="str">
        <f aca="false">IF(OR($B$3&lt;1,$B$3&gt;28),"—",INDEX(ROSTER!E13:AF13,1,$B$3))</f>
        <v>OFF</v>
      </c>
      <c r="E17" s="1" t="str">
        <f aca="false">IF(D17="SICK","🔴 SICK",IF(D17="AL","🟡 AL",IF(D17="OFF","⬜ OFF",IF(D17="AVL","🔵 FLOAT",IF(OR(D17="AG-E",D17="AG-L",D17="AG-N"),"🟠 AGENCY",IF(OR(D17="OC-E",D17="OC-L",D17="OC-EL",D17="OC-N"),"🟣 ON-CALL","🟢 WORKING"))))))</f>
        <v>⬜ OFF</v>
      </c>
      <c r="G17" s="9" t="str">
        <f aca="false">IF(D17="SICK","⚡ FIND COVER — check Available list below",IF(D17="AVL","Ready to deploy if gap arises",IF(OR(D17="AG-E",D17="AG-L",D17="AG-N"),"Confirm agency arrival. Handover pack ready?","")))</f>
        <v/>
      </c>
    </row>
    <row r="18" customFormat="false" ht="15" hidden="false" customHeight="true" outlineLevel="0" collapsed="false">
      <c r="A18" s="1" t="str">
        <f aca="false">ROSTER!A14</f>
        <v>Kevin White</v>
      </c>
      <c r="B18" s="1" t="str">
        <f aca="false">ROSTER!B14</f>
        <v>Day B</v>
      </c>
      <c r="C18" s="1" t="n">
        <f aca="false">ROSTER!D14</f>
        <v>0.5</v>
      </c>
      <c r="D18" s="8" t="str">
        <f aca="false">IF(OR($B$3&lt;1,$B$3&gt;28),"—",INDEX(ROSTER!E14:AF14,1,$B$3))</f>
        <v>OFF</v>
      </c>
      <c r="E18" s="1" t="str">
        <f aca="false">IF(D18="SICK","🔴 SICK",IF(D18="AL","🟡 AL",IF(D18="OFF","⬜ OFF",IF(D18="AVL","🔵 FLOAT",IF(OR(D18="AG-E",D18="AG-L",D18="AG-N"),"🟠 AGENCY",IF(OR(D18="OC-E",D18="OC-L",D18="OC-EL",D18="OC-N"),"🟣 ON-CALL","🟢 WORKING"))))))</f>
        <v>⬜ OFF</v>
      </c>
      <c r="G18" s="9" t="str">
        <f aca="false">IF(D18="SICK","⚡ FIND COVER — check Available list below",IF(D18="AVL","Ready to deploy if gap arises",IF(OR(D18="AG-E",D18="AG-L",D18="AG-N"),"Confirm agency arrival. Handover pack ready?","")))</f>
        <v/>
      </c>
    </row>
    <row r="19" customFormat="false" ht="15" hidden="false" customHeight="true" outlineLevel="0" collapsed="false">
      <c r="A19" s="1" t="str">
        <f aca="false">ROSTER!A15</f>
        <v>Laura Adams</v>
      </c>
      <c r="B19" s="1" t="str">
        <f aca="false">ROSTER!B15</f>
        <v>Day B</v>
      </c>
      <c r="C19" s="1" t="n">
        <f aca="false">ROSTER!D15</f>
        <v>1.5</v>
      </c>
      <c r="D19" s="8" t="str">
        <f aca="false">IF(OR($B$3&lt;1,$B$3&gt;28),"—",INDEX(ROSTER!E15:AF15,1,$B$3))</f>
        <v>OFF</v>
      </c>
      <c r="E19" s="1" t="str">
        <f aca="false">IF(D19="SICK","🔴 SICK",IF(D19="AL","🟡 AL",IF(D19="OFF","⬜ OFF",IF(D19="AVL","🔵 FLOAT",IF(OR(D19="AG-E",D19="AG-L",D19="AG-N"),"🟠 AGENCY",IF(OR(D19="OC-E",D19="OC-L",D19="OC-EL",D19="OC-N"),"🟣 ON-CALL","🟢 WORKING"))))))</f>
        <v>⬜ OFF</v>
      </c>
      <c r="G19" s="9" t="str">
        <f aca="false">IF(D19="SICK","⚡ FIND COVER — check Available list below",IF(D19="AVL","Ready to deploy if gap arises",IF(OR(D19="AG-E",D19="AG-L",D19="AG-N"),"Confirm agency arrival. Handover pack ready?","")))</f>
        <v/>
      </c>
    </row>
    <row r="20" customFormat="false" ht="15" hidden="false" customHeight="true" outlineLevel="0" collapsed="false">
      <c r="A20" s="1" t="str">
        <f aca="false">ROSTER!A16</f>
        <v>Mike Taylor</v>
      </c>
      <c r="B20" s="1" t="str">
        <f aca="false">ROSTER!B16</f>
        <v>Day B</v>
      </c>
      <c r="C20" s="1" t="n">
        <f aca="false">ROSTER!D16</f>
        <v>0.5</v>
      </c>
      <c r="D20" s="8" t="str">
        <f aca="false">IF(OR($B$3&lt;1,$B$3&gt;28),"—",INDEX(ROSTER!E16:AF16,1,$B$3))</f>
        <v>OFF</v>
      </c>
      <c r="E20" s="1" t="str">
        <f aca="false">IF(D20="SICK","🔴 SICK",IF(D20="AL","🟡 AL",IF(D20="OFF","⬜ OFF",IF(D20="AVL","🔵 FLOAT",IF(OR(D20="AG-E",D20="AG-L",D20="AG-N"),"🟠 AGENCY",IF(OR(D20="OC-E",D20="OC-L",D20="OC-EL",D20="OC-N"),"🟣 ON-CALL","🟢 WORKING"))))))</f>
        <v>⬜ OFF</v>
      </c>
      <c r="G20" s="9" t="str">
        <f aca="false">IF(D20="SICK","⚡ FIND COVER — check Available list below",IF(D20="AVL","Ready to deploy if gap arises",IF(OR(D20="AG-E",D20="AG-L",D20="AG-N"),"Confirm agency arrival. Handover pack ready?","")))</f>
        <v/>
      </c>
    </row>
    <row r="21" customFormat="false" ht="15" hidden="false" customHeight="true" outlineLevel="0" collapsed="false">
      <c r="A21" s="1" t="str">
        <f aca="false">ROSTER!A17</f>
        <v>Nina Patel</v>
      </c>
      <c r="B21" s="1" t="str">
        <f aca="false">ROSTER!B17</f>
        <v>Day B</v>
      </c>
      <c r="C21" s="1" t="n">
        <f aca="false">ROSTER!D17</f>
        <v>1</v>
      </c>
      <c r="D21" s="8" t="str">
        <f aca="false">IF(OR($B$3&lt;1,$B$3&gt;28),"—",INDEX(ROSTER!E17:AF17,1,$B$3))</f>
        <v>OFF</v>
      </c>
      <c r="E21" s="1" t="str">
        <f aca="false">IF(D21="SICK","🔴 SICK",IF(D21="AL","🟡 AL",IF(D21="OFF","⬜ OFF",IF(D21="AVL","🔵 FLOAT",IF(OR(D21="AG-E",D21="AG-L",D21="AG-N"),"🟠 AGENCY",IF(OR(D21="OC-E",D21="OC-L",D21="OC-EL",D21="OC-N"),"🟣 ON-CALL","🟢 WORKING"))))))</f>
        <v>⬜ OFF</v>
      </c>
      <c r="G21" s="9" t="str">
        <f aca="false">IF(D21="SICK","⚡ FIND COVER — check Available list below",IF(D21="AVL","Ready to deploy if gap arises",IF(OR(D21="AG-E",D21="AG-L",D21="AG-N"),"Confirm agency arrival. Handover pack ready?","")))</f>
        <v/>
      </c>
    </row>
    <row r="22" customFormat="false" ht="15" hidden="false" customHeight="true" outlineLevel="0" collapsed="false">
      <c r="A22" s="1" t="str">
        <f aca="false">ROSTER!A18</f>
        <v>Oliver Ross</v>
      </c>
      <c r="B22" s="1" t="str">
        <f aca="false">ROSTER!B18</f>
        <v>Night A</v>
      </c>
      <c r="C22" s="1" t="n">
        <f aca="false">ROSTER!D18</f>
        <v>1</v>
      </c>
      <c r="D22" s="8" t="str">
        <f aca="false">IF(OR($B$3&lt;1,$B$3&gt;28),"—",INDEX(ROSTER!E18:AF18,1,$B$3))</f>
        <v>N</v>
      </c>
      <c r="E22" s="1" t="str">
        <f aca="false">IF(D22="SICK","🔴 SICK",IF(D22="AL","🟡 AL",IF(D22="OFF","⬜ OFF",IF(D22="AVL","🔵 FLOAT",IF(OR(D22="AG-E",D22="AG-L",D22="AG-N"),"🟠 AGENCY",IF(OR(D22="OC-E",D22="OC-L",D22="OC-EL",D22="OC-N"),"🟣 ON-CALL","🟢 WORKING"))))))</f>
        <v>🟢 WORKING</v>
      </c>
      <c r="G22" s="9" t="str">
        <f aca="false">IF(D22="SICK","⚡ FIND COVER — check Available list below",IF(D22="AVL","Ready to deploy if gap arises",IF(OR(D22="AG-E",D22="AG-L",D22="AG-N"),"Confirm agency arrival. Handover pack ready?","")))</f>
        <v/>
      </c>
    </row>
    <row r="23" customFormat="false" ht="15" hidden="false" customHeight="true" outlineLevel="0" collapsed="false">
      <c r="A23" s="1" t="str">
        <f aca="false">ROSTER!A19</f>
        <v>Paula Young</v>
      </c>
      <c r="B23" s="1" t="str">
        <f aca="false">ROSTER!B19</f>
        <v>Night A</v>
      </c>
      <c r="C23" s="1" t="n">
        <f aca="false">ROSTER!D19</f>
        <v>0.5</v>
      </c>
      <c r="D23" s="8" t="str">
        <f aca="false">IF(OR($B$3&lt;1,$B$3&gt;28),"—",INDEX(ROSTER!E19:AF19,1,$B$3))</f>
        <v>N</v>
      </c>
      <c r="E23" s="1" t="str">
        <f aca="false">IF(D23="SICK","🔴 SICK",IF(D23="AL","🟡 AL",IF(D23="OFF","⬜ OFF",IF(D23="AVL","🔵 FLOAT",IF(OR(D23="AG-E",D23="AG-L",D23="AG-N"),"🟠 AGENCY",IF(OR(D23="OC-E",D23="OC-L",D23="OC-EL",D23="OC-N"),"🟣 ON-CALL","🟢 WORKING"))))))</f>
        <v>🟢 WORKING</v>
      </c>
      <c r="G23" s="9" t="str">
        <f aca="false">IF(D23="SICK","⚡ FIND COVER — check Available list below",IF(D23="AVL","Ready to deploy if gap arises",IF(OR(D23="AG-E",D23="AG-L",D23="AG-N"),"Confirm agency arrival. Handover pack ready?","")))</f>
        <v/>
      </c>
    </row>
    <row r="24" customFormat="false" ht="15" hidden="false" customHeight="true" outlineLevel="0" collapsed="false">
      <c r="A24" s="1" t="str">
        <f aca="false">ROSTER!A20</f>
        <v>Quentin Fox</v>
      </c>
      <c r="B24" s="1" t="str">
        <f aca="false">ROSTER!B20</f>
        <v>Night A</v>
      </c>
      <c r="C24" s="1" t="n">
        <f aca="false">ROSTER!D20</f>
        <v>0.5</v>
      </c>
      <c r="D24" s="8" t="str">
        <f aca="false">IF(OR($B$3&lt;1,$B$3&gt;28),"—",INDEX(ROSTER!E20:AF20,1,$B$3))</f>
        <v>N</v>
      </c>
      <c r="E24" s="1" t="str">
        <f aca="false">IF(D24="SICK","🔴 SICK",IF(D24="AL","🟡 AL",IF(D24="OFF","⬜ OFF",IF(D24="AVL","🔵 FLOAT",IF(OR(D24="AG-E",D24="AG-L",D24="AG-N"),"🟠 AGENCY",IF(OR(D24="OC-E",D24="OC-L",D24="OC-EL",D24="OC-N"),"🟣 ON-CALL","🟢 WORKING"))))))</f>
        <v>🟢 WORKING</v>
      </c>
      <c r="G24" s="9" t="str">
        <f aca="false">IF(D24="SICK","⚡ FIND COVER — check Available list below",IF(D24="AVL","Ready to deploy if gap arises",IF(OR(D24="AG-E",D24="AG-L",D24="AG-N"),"Confirm agency arrival. Handover pack ready?","")))</f>
        <v/>
      </c>
    </row>
    <row r="25" customFormat="false" ht="15" hidden="false" customHeight="true" outlineLevel="0" collapsed="false">
      <c r="A25" s="1" t="str">
        <f aca="false">ROSTER!A21</f>
        <v>Rachel Green</v>
      </c>
      <c r="B25" s="1" t="str">
        <f aca="false">ROSTER!B21</f>
        <v>Night B</v>
      </c>
      <c r="C25" s="1" t="n">
        <f aca="false">ROSTER!D21</f>
        <v>1</v>
      </c>
      <c r="D25" s="8" t="str">
        <f aca="false">IF(OR($B$3&lt;1,$B$3&gt;28),"—",INDEX(ROSTER!E21:AF21,1,$B$3))</f>
        <v>OFF</v>
      </c>
      <c r="E25" s="1" t="str">
        <f aca="false">IF(D25="SICK","🔴 SICK",IF(D25="AL","🟡 AL",IF(D25="OFF","⬜ OFF",IF(D25="AVL","🔵 FLOAT",IF(OR(D25="AG-E",D25="AG-L",D25="AG-N"),"🟠 AGENCY",IF(OR(D25="OC-E",D25="OC-L",D25="OC-EL",D25="OC-N"),"🟣 ON-CALL","🟢 WORKING"))))))</f>
        <v>⬜ OFF</v>
      </c>
      <c r="G25" s="9" t="str">
        <f aca="false">IF(D25="SICK","⚡ FIND COVER — check Available list below",IF(D25="AVL","Ready to deploy if gap arises",IF(OR(D25="AG-E",D25="AG-L",D25="AG-N"),"Confirm agency arrival. Handover pack ready?","")))</f>
        <v/>
      </c>
    </row>
    <row r="26" customFormat="false" ht="15" hidden="false" customHeight="true" outlineLevel="0" collapsed="false">
      <c r="A26" s="1" t="str">
        <f aca="false">ROSTER!A22</f>
        <v>Steve Black</v>
      </c>
      <c r="B26" s="1" t="str">
        <f aca="false">ROSTER!B22</f>
        <v>Night B</v>
      </c>
      <c r="C26" s="1" t="n">
        <f aca="false">ROSTER!D22</f>
        <v>0.5</v>
      </c>
      <c r="D26" s="8" t="str">
        <f aca="false">IF(OR($B$3&lt;1,$B$3&gt;28),"—",INDEX(ROSTER!E22:AF22,1,$B$3))</f>
        <v>OFF</v>
      </c>
      <c r="E26" s="1" t="str">
        <f aca="false">IF(D26="SICK","🔴 SICK",IF(D26="AL","🟡 AL",IF(D26="OFF","⬜ OFF",IF(D26="AVL","🔵 FLOAT",IF(OR(D26="AG-E",D26="AG-L",D26="AG-N"),"🟠 AGENCY",IF(OR(D26="OC-E",D26="OC-L",D26="OC-EL",D26="OC-N"),"🟣 ON-CALL","🟢 WORKING"))))))</f>
        <v>⬜ OFF</v>
      </c>
      <c r="G26" s="9" t="str">
        <f aca="false">IF(D26="SICK","⚡ FIND COVER — check Available list below",IF(D26="AVL","Ready to deploy if gap arises",IF(OR(D26="AG-E",D26="AG-L",D26="AG-N"),"Confirm agency arrival. Handover pack ready?","")))</f>
        <v/>
      </c>
    </row>
    <row r="27" customFormat="false" ht="15" hidden="false" customHeight="true" outlineLevel="0" collapsed="false">
      <c r="A27" s="1" t="str">
        <f aca="false">ROSTER!A23</f>
        <v>Tina Hall</v>
      </c>
      <c r="B27" s="1" t="str">
        <f aca="false">ROSTER!B23</f>
        <v>Night B</v>
      </c>
      <c r="C27" s="1" t="n">
        <f aca="false">ROSTER!D23</f>
        <v>0.5</v>
      </c>
      <c r="D27" s="8" t="str">
        <f aca="false">IF(OR($B$3&lt;1,$B$3&gt;28),"—",INDEX(ROSTER!E23:AF23,1,$B$3))</f>
        <v>OFF</v>
      </c>
      <c r="E27" s="1" t="str">
        <f aca="false">IF(D27="SICK","🔴 SICK",IF(D27="AL","🟡 AL",IF(D27="OFF","⬜ OFF",IF(D27="AVL","🔵 FLOAT",IF(OR(D27="AG-E",D27="AG-L",D27="AG-N"),"🟠 AGENCY",IF(OR(D27="OC-E",D27="OC-L",D27="OC-EL",D27="OC-N"),"🟣 ON-CALL","🟢 WORKING"))))))</f>
        <v>⬜ OFF</v>
      </c>
      <c r="G27" s="9" t="str">
        <f aca="false">IF(D27="SICK","⚡ FIND COVER — check Available list below",IF(D27="AVL","Ready to deploy if gap arises",IF(OR(D27="AG-E",D27="AG-L",D27="AG-N"),"Confirm agency arrival. Handover pack ready?","")))</f>
        <v/>
      </c>
    </row>
    <row r="28" customFormat="false" ht="15" hidden="false" customHeight="true" outlineLevel="0" collapsed="false">
      <c r="A28" s="1" t="str">
        <f aca="false">ROSTER!A24</f>
        <v>Uma Shah</v>
      </c>
      <c r="B28" s="1" t="str">
        <f aca="false">ROSTER!B24</f>
        <v>Float</v>
      </c>
      <c r="C28" s="1" t="n">
        <f aca="false">ROSTER!D24</f>
        <v>1</v>
      </c>
      <c r="D28" s="8" t="str">
        <f aca="false">IF(OR($B$3&lt;1,$B$3&gt;28),"—",INDEX(ROSTER!E24:AF24,1,$B$3))</f>
        <v>AVL</v>
      </c>
      <c r="E28" s="1" t="str">
        <f aca="false">IF(D28="SICK","🔴 SICK",IF(D28="AL","🟡 AL",IF(D28="OFF","⬜ OFF",IF(D28="AVL","🔵 FLOAT",IF(OR(D28="AG-E",D28="AG-L",D28="AG-N"),"🟠 AGENCY",IF(OR(D28="OC-E",D28="OC-L",D28="OC-EL",D28="OC-N"),"🟣 ON-CALL","🟢 WORKING"))))))</f>
        <v>🔵 FLOAT</v>
      </c>
      <c r="G28" s="9" t="str">
        <f aca="false">IF(D28="SICK","⚡ FIND COVER — check Available list below",IF(D28="AVL","Ready to deploy if gap arises",IF(OR(D28="AG-E",D28="AG-L",D28="AG-N"),"Confirm agency arrival. Handover pack ready?","")))</f>
        <v>Ready to deploy if gap arises</v>
      </c>
    </row>
    <row r="29" customFormat="false" ht="15" hidden="false" customHeight="true" outlineLevel="0" collapsed="false">
      <c r="A29" s="1" t="str">
        <f aca="false">ROSTER!A25</f>
        <v>Victor Chen</v>
      </c>
      <c r="B29" s="1" t="str">
        <f aca="false">ROSTER!B25</f>
        <v>Float</v>
      </c>
      <c r="C29" s="1" t="n">
        <f aca="false">ROSTER!D25</f>
        <v>0.5</v>
      </c>
      <c r="D29" s="8" t="str">
        <f aca="false">IF(OR($B$3&lt;1,$B$3&gt;28),"—",INDEX(ROSTER!E25:AF25,1,$B$3))</f>
        <v>AVL</v>
      </c>
      <c r="E29" s="1" t="str">
        <f aca="false">IF(D29="SICK","🔴 SICK",IF(D29="AL","🟡 AL",IF(D29="OFF","⬜ OFF",IF(D29="AVL","🔵 FLOAT",IF(OR(D29="AG-E",D29="AG-L",D29="AG-N"),"🟠 AGENCY",IF(OR(D29="OC-E",D29="OC-L",D29="OC-EL",D29="OC-N"),"🟣 ON-CALL","🟢 WORKING"))))))</f>
        <v>🔵 FLOAT</v>
      </c>
      <c r="G29" s="9" t="str">
        <f aca="false">IF(D29="SICK","⚡ FIND COVER — check Available list below",IF(D29="AVL","Ready to deploy if gap arises",IF(OR(D29="AG-E",D29="AG-L",D29="AG-N"),"Confirm agency arrival. Handover pack ready?","")))</f>
        <v>Ready to deploy if gap arises</v>
      </c>
    </row>
    <row r="30" customFormat="false" ht="15" hidden="false" customHeight="true" outlineLevel="0" collapsed="false">
      <c r="A30" s="1" t="str">
        <f aca="false">ROSTER!A26</f>
        <v>Wendy Jones</v>
      </c>
      <c r="B30" s="1" t="str">
        <f aca="false">ROSTER!B26</f>
        <v>Float</v>
      </c>
      <c r="C30" s="1" t="n">
        <f aca="false">ROSTER!D26</f>
        <v>0.5</v>
      </c>
      <c r="D30" s="8" t="str">
        <f aca="false">IF(OR($B$3&lt;1,$B$3&gt;28),"—",INDEX(ROSTER!E26:AF26,1,$B$3))</f>
        <v>AVL</v>
      </c>
      <c r="E30" s="1" t="str">
        <f aca="false">IF(D30="SICK","🔴 SICK",IF(D30="AL","🟡 AL",IF(D30="OFF","⬜ OFF",IF(D30="AVL","🔵 FLOAT",IF(OR(D30="AG-E",D30="AG-L",D30="AG-N"),"🟠 AGENCY",IF(OR(D30="OC-E",D30="OC-L",D30="OC-EL",D30="OC-N"),"🟣 ON-CALL","🟢 WORKING"))))))</f>
        <v>🔵 FLOAT</v>
      </c>
      <c r="G30" s="9" t="str">
        <f aca="false">IF(D30="SICK","⚡ FIND COVER — check Available list below",IF(D30="AVL","Ready to deploy if gap arises",IF(OR(D30="AG-E",D30="AG-L",D30="AG-N"),"Confirm agency arrival. Handover pack ready?","")))</f>
        <v>Ready to deploy if gap arises</v>
      </c>
    </row>
    <row r="31" customFormat="false" ht="15" hidden="false" customHeight="true" outlineLevel="0" collapsed="false">
      <c r="A31" s="1" t="str">
        <f aca="false">ROSTER!A27</f>
        <v>Xena Price</v>
      </c>
      <c r="B31" s="1" t="str">
        <f aca="false">ROSTER!B27</f>
        <v>Day A</v>
      </c>
      <c r="C31" s="1" t="n">
        <f aca="false">ROSTER!D27</f>
        <v>0.5</v>
      </c>
      <c r="D31" s="8" t="str">
        <f aca="false">IF(OR($B$3&lt;1,$B$3&gt;28),"—",INDEX(ROSTER!E27:AF27,1,$B$3))</f>
        <v>E</v>
      </c>
      <c r="E31" s="1" t="str">
        <f aca="false">IF(D31="SICK","🔴 SICK",IF(D31="AL","🟡 AL",IF(D31="OFF","⬜ OFF",IF(D31="AVL","🔵 FLOAT",IF(OR(D31="AG-E",D31="AG-L",D31="AG-N"),"🟠 AGENCY",IF(OR(D31="OC-E",D31="OC-L",D31="OC-EL",D31="OC-N"),"🟣 ON-CALL","🟢 WORKING"))))))</f>
        <v>🟢 WORKING</v>
      </c>
      <c r="G31" s="9" t="str">
        <f aca="false">IF(D31="SICK","⚡ FIND COVER — check Available list below",IF(D31="AVL","Ready to deploy if gap arises",IF(OR(D31="AG-E",D31="AG-L",D31="AG-N"),"Confirm agency arrival. Handover pack ready?","")))</f>
        <v/>
      </c>
    </row>
    <row r="32" customFormat="false" ht="15" hidden="false" customHeight="true" outlineLevel="0" collapsed="false">
      <c r="A32" s="1" t="str">
        <f aca="false">ROSTER!A28</f>
        <v>Yasmin Reed</v>
      </c>
      <c r="B32" s="1" t="str">
        <f aca="false">ROSTER!B28</f>
        <v>Day B</v>
      </c>
      <c r="C32" s="1" t="n">
        <f aca="false">ROSTER!D28</f>
        <v>1</v>
      </c>
      <c r="D32" s="8" t="str">
        <f aca="false">IF(OR($B$3&lt;1,$B$3&gt;28),"—",INDEX(ROSTER!E28:AF28,1,$B$3))</f>
        <v>OFF</v>
      </c>
      <c r="E32" s="1" t="str">
        <f aca="false">IF(D32="SICK","🔴 SICK",IF(D32="AL","🟡 AL",IF(D32="OFF","⬜ OFF",IF(D32="AVL","🔵 FLOAT",IF(OR(D32="AG-E",D32="AG-L",D32="AG-N"),"🟠 AGENCY",IF(OR(D32="OC-E",D32="OC-L",D32="OC-EL",D32="OC-N"),"🟣 ON-CALL","🟢 WORKING"))))))</f>
        <v>⬜ OFF</v>
      </c>
      <c r="G32" s="9" t="str">
        <f aca="false">IF(D32="SICK","⚡ FIND COVER — check Available list below",IF(D32="AVL","Ready to deploy if gap arises",IF(OR(D32="AG-E",D32="AG-L",D32="AG-N"),"Confirm agency arrival. Handover pack ready?","")))</f>
        <v/>
      </c>
    </row>
    <row r="33" customFormat="false" ht="15" hidden="false" customHeight="true" outlineLevel="0" collapsed="false">
      <c r="A33" s="1" t="n">
        <f aca="false">ROSTER!A29</f>
        <v>0</v>
      </c>
      <c r="C33" s="1" t="n">
        <f aca="false">ROSTER!D29</f>
        <v>0</v>
      </c>
      <c r="D33" s="1" t="n">
        <f aca="false">IF(OR($B$3&lt;1,$B$3&gt;28),"—",INDEX(ROSTER!E29:AF29,1,$B$3))</f>
        <v>0</v>
      </c>
    </row>
    <row r="34" customFormat="false" ht="15" hidden="false" customHeight="true" outlineLevel="0" collapsed="false">
      <c r="A34" s="1" t="n">
        <f aca="false">ROSTER!A30</f>
        <v>0</v>
      </c>
      <c r="C34" s="1" t="n">
        <f aca="false">ROSTER!D30</f>
        <v>0</v>
      </c>
      <c r="D34" s="1" t="n">
        <f aca="false">IF(OR($B$3&lt;1,$B$3&gt;28),"—",INDEX(ROSTER!E30:AF30,1,$B$3))</f>
        <v>0</v>
      </c>
    </row>
    <row r="35" customFormat="false" ht="15.75" hidden="false" customHeight="true" outlineLevel="0" collapsed="false">
      <c r="A35" s="6" t="n">
        <f aca="false">ROSTER!A31</f>
        <v>0</v>
      </c>
      <c r="C35" s="1" t="n">
        <f aca="false">ROSTER!D31</f>
        <v>0</v>
      </c>
      <c r="D35" s="1" t="n">
        <f aca="false">IF(OR($B$3&lt;1,$B$3&gt;28),"—",INDEX(ROSTER!E31:AF31,1,$B$3))</f>
        <v>0</v>
      </c>
    </row>
    <row r="36" customFormat="false" ht="15" hidden="false" customHeight="true" outlineLevel="0" collapsed="false">
      <c r="A36" s="7" t="n">
        <f aca="false">ROSTER!A32</f>
        <v>0</v>
      </c>
      <c r="B36" s="7"/>
      <c r="C36" s="7" t="n">
        <f aca="false">ROSTER!D32</f>
        <v>0</v>
      </c>
      <c r="D36" s="7" t="n">
        <f aca="false">IF(OR($B$3&lt;1,$B$3&gt;28),"—",INDEX(ROSTER!E32:AF32,1,$B$3))</f>
        <v>0</v>
      </c>
    </row>
    <row r="37" customFormat="false" ht="15" hidden="false" customHeight="true" outlineLevel="0" collapsed="false">
      <c r="A37" s="1" t="n">
        <f aca="false">ROSTER!A33</f>
        <v>0</v>
      </c>
      <c r="B37" s="10"/>
      <c r="C37" s="1" t="n">
        <f aca="false">ROSTER!D33</f>
        <v>0</v>
      </c>
      <c r="D37" s="1" t="n">
        <f aca="false">IF(OR($B$3&lt;1,$B$3&gt;28),"—",INDEX(ROSTER!E33:AF33,1,$B$3))</f>
        <v>0</v>
      </c>
    </row>
    <row r="38" customFormat="false" ht="15" hidden="false" customHeight="true" outlineLevel="0" collapsed="false">
      <c r="A38" s="1" t="n">
        <f aca="false">ROSTER!A34</f>
        <v>0</v>
      </c>
      <c r="B38" s="10"/>
      <c r="C38" s="1" t="n">
        <f aca="false">ROSTER!D34</f>
        <v>0</v>
      </c>
      <c r="D38" s="1" t="n">
        <f aca="false">IF(OR($B$3&lt;1,$B$3&gt;28),"—",INDEX(ROSTER!E34:AF34,1,$B$3))</f>
        <v>0</v>
      </c>
    </row>
    <row r="39" customFormat="false" ht="15" hidden="false" customHeight="true" outlineLevel="0" collapsed="false">
      <c r="A39" s="1" t="n">
        <f aca="false">ROSTER!A35</f>
        <v>0</v>
      </c>
      <c r="B39" s="10"/>
      <c r="C39" s="1" t="n">
        <f aca="false">ROSTER!D35</f>
        <v>0</v>
      </c>
      <c r="D39" s="1" t="n">
        <f aca="false">IF(OR($B$3&lt;1,$B$3&gt;28),"—",INDEX(ROSTER!E35:AF35,1,$B$3))</f>
        <v>0</v>
      </c>
    </row>
    <row r="40" customFormat="false" ht="15" hidden="false" customHeight="true" outlineLevel="0" collapsed="false">
      <c r="A40" s="1" t="n">
        <f aca="false">ROSTER!A36</f>
        <v>0</v>
      </c>
      <c r="B40" s="10"/>
      <c r="C40" s="1" t="n">
        <f aca="false">ROSTER!D36</f>
        <v>0</v>
      </c>
      <c r="D40" s="1" t="n">
        <f aca="false">IF(OR($B$3&lt;1,$B$3&gt;28),"—",INDEX(ROSTER!E36:AF36,1,$B$3))</f>
        <v>0</v>
      </c>
    </row>
    <row r="41" customFormat="false" ht="15" hidden="false" customHeight="true" outlineLevel="0" collapsed="false">
      <c r="A41" s="1" t="n">
        <f aca="false">ROSTER!A37</f>
        <v>0</v>
      </c>
      <c r="B41" s="10"/>
      <c r="C41" s="1" t="n">
        <f aca="false">ROSTER!D37</f>
        <v>0</v>
      </c>
      <c r="D41" s="1" t="n">
        <f aca="false">IF(OR($B$3&lt;1,$B$3&gt;28),"—",INDEX(ROSTER!E37:AF37,1,$B$3))</f>
        <v>0</v>
      </c>
    </row>
    <row r="42" customFormat="false" ht="15" hidden="false" customHeight="true" outlineLevel="0" collapsed="false">
      <c r="A42" s="1" t="n">
        <f aca="false">ROSTER!A38</f>
        <v>0</v>
      </c>
      <c r="B42" s="10"/>
      <c r="C42" s="1" t="n">
        <f aca="false">ROSTER!D38</f>
        <v>0</v>
      </c>
      <c r="D42" s="1" t="n">
        <f aca="false">IF(OR($B$3&lt;1,$B$3&gt;28),"—",INDEX(ROSTER!E38:AF38,1,$B$3))</f>
        <v>0</v>
      </c>
    </row>
    <row r="43" customFormat="false" ht="15" hidden="false" customHeight="true" outlineLevel="0" collapsed="false">
      <c r="A43" s="1" t="n">
        <f aca="false">ROSTER!A39</f>
        <v>0</v>
      </c>
      <c r="B43" s="10"/>
      <c r="C43" s="1" t="n">
        <f aca="false">ROSTER!D39</f>
        <v>0</v>
      </c>
      <c r="D43" s="1" t="n">
        <f aca="false">IF(OR($B$3&lt;1,$B$3&gt;28),"—",INDEX(ROSTER!E39:AF39,1,$B$3))</f>
        <v>0</v>
      </c>
    </row>
    <row r="44" customFormat="false" ht="15" hidden="false" customHeight="true" outlineLevel="0" collapsed="false">
      <c r="A44" s="1" t="n">
        <f aca="false">ROSTER!A40</f>
        <v>0</v>
      </c>
      <c r="B44" s="10"/>
      <c r="C44" s="1" t="n">
        <f aca="false">ROSTER!D40</f>
        <v>0</v>
      </c>
      <c r="D44" s="1" t="n">
        <f aca="false">IF(OR($B$3&lt;1,$B$3&gt;28),"—",INDEX(ROSTER!E40:AF40,1,$B$3))</f>
        <v>0</v>
      </c>
    </row>
    <row r="45" customFormat="false" ht="15" hidden="false" customHeight="true" outlineLevel="0" collapsed="false">
      <c r="A45" s="1" t="n">
        <f aca="false">ROSTER!A41</f>
        <v>0</v>
      </c>
      <c r="C45" s="1" t="n">
        <f aca="false">ROSTER!D41</f>
        <v>0</v>
      </c>
      <c r="D45" s="1" t="n">
        <f aca="false">IF(OR($B$3&lt;1,$B$3&gt;28),"—",INDEX(ROSTER!E41:AF41,1,$B$3))</f>
        <v>0</v>
      </c>
    </row>
    <row r="46" customFormat="false" ht="15.75" hidden="false" customHeight="true" outlineLevel="0" collapsed="false">
      <c r="A46" s="6" t="n">
        <f aca="false">ROSTER!A42</f>
        <v>0</v>
      </c>
      <c r="C46" s="1" t="n">
        <f aca="false">ROSTER!D42</f>
        <v>0</v>
      </c>
      <c r="D46" s="1" t="n">
        <f aca="false">IF(OR($B$3&lt;1,$B$3&gt;28),"—",INDEX(ROSTER!E42:AF42,1,$B$3))</f>
        <v>0</v>
      </c>
    </row>
    <row r="47" customFormat="false" ht="17.25" hidden="false" customHeight="true" outlineLevel="0" collapsed="false">
      <c r="A47" s="1" t="n">
        <f aca="false">ROSTER!A43</f>
        <v>0</v>
      </c>
      <c r="B47" s="4"/>
      <c r="C47" s="1" t="n">
        <f aca="false">ROSTER!D43</f>
        <v>0</v>
      </c>
      <c r="D47" s="1" t="n">
        <f aca="false">IF(OR($B$3&lt;1,$B$3&gt;28),"—",INDEX(ROSTER!E43:AF43,1,$B$3))</f>
        <v>0</v>
      </c>
    </row>
    <row r="48" customFormat="false" ht="15" hidden="false" customHeight="true" outlineLevel="0" collapsed="false">
      <c r="A48" s="1" t="n">
        <f aca="false">ROSTER!A44</f>
        <v>0</v>
      </c>
      <c r="C48" s="1" t="n">
        <f aca="false">ROSTER!D44</f>
        <v>0</v>
      </c>
      <c r="D48" s="1" t="n">
        <f aca="false">IF(OR($B$3&lt;1,$B$3&gt;28),"—",INDEX(ROSTER!E44:AF44,1,$B$3))</f>
        <v>0</v>
      </c>
    </row>
    <row r="49" customFormat="false" ht="15.75" hidden="false" customHeight="true" outlineLevel="0" collapsed="false">
      <c r="A49" s="6" t="n">
        <f aca="false">ROSTER!A45</f>
        <v>0</v>
      </c>
      <c r="C49" s="1" t="n">
        <f aca="false">ROSTER!D45</f>
        <v>0</v>
      </c>
      <c r="D49" s="1" t="n">
        <f aca="false">IF(OR($B$3&lt;1,$B$3&gt;28),"—",INDEX(ROSTER!E45:AF45,1,$B$3))</f>
        <v>0</v>
      </c>
    </row>
    <row r="50" customFormat="false" ht="15" hidden="false" customHeight="true" outlineLevel="0" collapsed="false">
      <c r="A50" s="1" t="n">
        <f aca="false">ROSTER!A46</f>
        <v>0</v>
      </c>
      <c r="C50" s="1" t="n">
        <f aca="false">ROSTER!D46</f>
        <v>0</v>
      </c>
      <c r="D50" s="1" t="n">
        <f aca="false">IF(OR($B$3&lt;1,$B$3&gt;28),"—",INDEX(ROSTER!E46:AF46,1,$B$3))</f>
        <v>0</v>
      </c>
    </row>
    <row r="51" customFormat="false" ht="15" hidden="false" customHeight="true" outlineLevel="0" collapsed="false">
      <c r="A51" s="1" t="n">
        <f aca="false">ROSTER!A47</f>
        <v>0</v>
      </c>
      <c r="B51" s="11"/>
      <c r="C51" s="1" t="n">
        <f aca="false">ROSTER!D47</f>
        <v>0</v>
      </c>
      <c r="D51" s="1" t="n">
        <f aca="false">IF(OR($B$3&lt;1,$B$3&gt;28),"—",INDEX(ROSTER!E47:AF47,1,$B$3))</f>
        <v>0</v>
      </c>
    </row>
    <row r="52" customFormat="false" ht="15" hidden="false" customHeight="true" outlineLevel="0" collapsed="false">
      <c r="A52" s="1" t="n">
        <f aca="false">ROSTER!A48</f>
        <v>0</v>
      </c>
      <c r="B52" s="11"/>
      <c r="C52" s="1" t="n">
        <f aca="false">ROSTER!D48</f>
        <v>0</v>
      </c>
      <c r="D52" s="1" t="n">
        <f aca="false">IF(OR($B$3&lt;1,$B$3&gt;28),"—",INDEX(ROSTER!E48:AF48,1,$B$3))</f>
        <v>0</v>
      </c>
    </row>
    <row r="53" customFormat="false" ht="15" hidden="false" customHeight="true" outlineLevel="0" collapsed="false">
      <c r="A53" s="1" t="n">
        <f aca="false">ROSTER!A49</f>
        <v>0</v>
      </c>
      <c r="B53" s="11"/>
      <c r="C53" s="1" t="n">
        <f aca="false">ROSTER!D49</f>
        <v>0</v>
      </c>
      <c r="D53" s="1" t="n">
        <f aca="false">IF(OR($B$3&lt;1,$B$3&gt;28),"—",INDEX(ROSTER!E49:AF49,1,$B$3))</f>
        <v>0</v>
      </c>
    </row>
    <row r="54" customFormat="false" ht="15" hidden="false" customHeight="true" outlineLevel="0" collapsed="false">
      <c r="A54" s="1" t="n">
        <f aca="false">ROSTER!A50</f>
        <v>0</v>
      </c>
      <c r="C54" s="1" t="n">
        <f aca="false">ROSTER!D50</f>
        <v>0</v>
      </c>
      <c r="D54" s="1" t="n">
        <f aca="false">IF(OR($B$3&lt;1,$B$3&gt;28),"—",INDEX(ROSTER!E50:AF50,1,$B$3))</f>
        <v>0</v>
      </c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>
      <c r="A57" s="6" t="s">
        <v>12</v>
      </c>
    </row>
    <row r="58" customFormat="false" ht="15" hidden="false" customHeight="true" outlineLevel="0" collapsed="false">
      <c r="A58" s="7" t="s">
        <v>13</v>
      </c>
      <c r="B58" s="7" t="s">
        <v>14</v>
      </c>
      <c r="C58" s="7" t="s">
        <v>15</v>
      </c>
      <c r="D58" s="7" t="s">
        <v>10</v>
      </c>
    </row>
    <row r="59" customFormat="false" ht="15" hidden="false" customHeight="true" outlineLevel="0" collapsed="false">
      <c r="A59" s="1" t="s">
        <v>16</v>
      </c>
      <c r="B59" s="10" t="n">
        <f aca="false">COUNTIF(D8:D54,"EL")+COUNTIF(D8:D54,"E")+COUNTIF(D8:D54,"OC-E")+COUNTIF(D8:D54,"OC-EL")+COUNTIF(D8:D54,"AG-E")+COUNTIF(D8:D54,"BH-D")</f>
        <v>8</v>
      </c>
      <c r="C59" s="1" t="n">
        <v>3</v>
      </c>
      <c r="D59" s="1" t="str">
        <f aca="false">IF(B59&gt;=C59+3,"🟢 STRONG",IF(B59&gt;=C59+1,"🟡 OK",IF(B59&gt;=C59,"🟠 AT MIN","🔴 BELOW MIN")))</f>
        <v>🟢 STRONG</v>
      </c>
    </row>
    <row r="60" customFormat="false" ht="15" hidden="false" customHeight="true" outlineLevel="0" collapsed="false">
      <c r="A60" s="1" t="s">
        <v>17</v>
      </c>
      <c r="B60" s="10" t="n">
        <f aca="false">COUNTIF(D8:D54,"EL")+COUNTIF(D8:D54,"L")+COUNTIF(D8:D54,"OC-L")+COUNTIF(D8:D54,"OC-EL")+COUNTIF(D8:D54,"AG-L")+COUNTIF(D8:D54,"BH-D")</f>
        <v>7</v>
      </c>
      <c r="C60" s="1" t="n">
        <v>3</v>
      </c>
      <c r="D60" s="1" t="str">
        <f aca="false">IF(B60&gt;=C60+3,"🟢 STRONG",IF(B60&gt;=C60+1,"🟡 OK",IF(B60&gt;=C60,"🟠 AT MIN","🔴 BELOW MIN")))</f>
        <v>🟢 STRONG</v>
      </c>
    </row>
    <row r="61" customFormat="false" ht="15" hidden="false" customHeight="true" outlineLevel="0" collapsed="false">
      <c r="A61" s="1" t="s">
        <v>18</v>
      </c>
      <c r="B61" s="10" t="n">
        <f aca="false">COUNTIF(D8:D54,"N")+COUNTIF(D8:D54,"OC-N")+COUNTIF(D8:D54,"AG-N")+COUNTIF(D8:D54,"BH-N")</f>
        <v>3</v>
      </c>
      <c r="C61" s="1" t="n">
        <v>3</v>
      </c>
      <c r="D61" s="1" t="str">
        <f aca="false">IF(B61&gt;=C61+3,"🟢 STRONG",IF(B61&gt;=C61+1,"🟡 OK",IF(B61&gt;=C61,"🟠 AT MIN","🔴 BELOW MIN")))</f>
        <v>🟠 AT MIN</v>
      </c>
    </row>
    <row r="62" customFormat="false" ht="15" hidden="false" customHeight="true" outlineLevel="0" collapsed="false">
      <c r="A62" s="1" t="s">
        <v>19</v>
      </c>
      <c r="B62" s="10" t="n">
        <f aca="false">COUNTIF(D8:D54,"SICK")</f>
        <v>0</v>
      </c>
    </row>
    <row r="63" customFormat="false" ht="15" hidden="false" customHeight="true" outlineLevel="0" collapsed="false">
      <c r="A63" s="1" t="s">
        <v>20</v>
      </c>
      <c r="B63" s="10" t="n">
        <f aca="false">COUNTIF(D8:D54,"AL")</f>
        <v>0</v>
      </c>
    </row>
    <row r="64" customFormat="false" ht="15" hidden="false" customHeight="true" outlineLevel="0" collapsed="false">
      <c r="A64" s="1" t="s">
        <v>21</v>
      </c>
      <c r="B64" s="10" t="n">
        <f aca="false">COUNTIF(D8:D54,"AVL")</f>
        <v>3</v>
      </c>
    </row>
    <row r="65" customFormat="false" ht="15.75" hidden="false" customHeight="true" outlineLevel="0" collapsed="false">
      <c r="A65" s="1" t="s">
        <v>22</v>
      </c>
      <c r="B65" s="10" t="n">
        <f aca="false">COUNTIF(D8:D54,"AG-E")+COUNTIF(D8:D54,"AG-L")+COUNTIF(D8:D54,"AG-N")</f>
        <v>0</v>
      </c>
    </row>
    <row r="66" customFormat="false" ht="15" hidden="false" customHeight="true" outlineLevel="0" collapsed="false">
      <c r="A66" s="1" t="s">
        <v>23</v>
      </c>
      <c r="B66" s="10" t="n">
        <f aca="false">COUNTIF(D8:D54,"OFF")</f>
        <v>11</v>
      </c>
    </row>
    <row r="68" customFormat="false" ht="15.75" hidden="false" customHeight="true" outlineLevel="0" collapsed="false">
      <c r="A68" s="6" t="s">
        <v>24</v>
      </c>
    </row>
    <row r="69" customFormat="false" ht="15" hidden="false" customHeight="true" outlineLevel="0" collapsed="false">
      <c r="A69" s="1" t="s">
        <v>25</v>
      </c>
      <c r="B69" s="4" t="str">
        <f aca="false">IF(OR(B59&lt;3,B61&lt;3),"⚫ LVL5 — UNSAFE",IF(B65&gt;0,"🟠 LVL3 — Agency",IF(AND(B64=0,B62&gt;0),"🟡 LVL2 — Floats gone",IF(B62&gt;0,"🟢 LVL1 — Float deployed","⬜ LVL0 — Normal"))))</f>
        <v>⬜ LVL0 — Normal</v>
      </c>
    </row>
    <row r="70" customFormat="false" ht="15" hidden="false" customHeight="true" outlineLevel="0" collapsed="false"/>
    <row r="71" customFormat="false" ht="15" hidden="false" customHeight="true" outlineLevel="0" collapsed="false">
      <c r="A71" s="6" t="s">
        <v>26</v>
      </c>
    </row>
    <row r="72" customFormat="false" ht="15" hidden="false" customHeight="true" outlineLevel="0" collapsed="false">
      <c r="A72" s="1" t="s">
        <v>27</v>
      </c>
    </row>
    <row r="73" customFormat="false" ht="15" hidden="false" customHeight="true" outlineLevel="0" collapsed="false">
      <c r="A73" s="1" t="s">
        <v>28</v>
      </c>
      <c r="B73" s="11" t="n">
        <v>4</v>
      </c>
      <c r="C73" s="1" t="str">
        <f aca="false">IF(OR(B73&lt;4,B73&gt;50,B74&lt;4,B74&gt;50),"—",INDEX(ROSTER!A$4:A$50,B73-3))</f>
        <v>Alice Johnson</v>
      </c>
    </row>
    <row r="74" customFormat="false" ht="15" hidden="false" customHeight="true" outlineLevel="0" collapsed="false">
      <c r="A74" s="1" t="s">
        <v>29</v>
      </c>
      <c r="B74" s="11" t="n">
        <v>11</v>
      </c>
      <c r="C74" s="1" t="str">
        <f aca="false">IF(OR(B73&lt;4,B73&gt;50,B74&lt;4,B74&gt;50),"—",INDEX(ROSTER!A$4:A$50,B74-3))</f>
        <v>Hannah Lee</v>
      </c>
    </row>
    <row r="75" customFormat="false" ht="15" hidden="false" customHeight="true" outlineLevel="0" collapsed="false">
      <c r="A75" s="1" t="s">
        <v>30</v>
      </c>
      <c r="B75" s="11" t="n">
        <v>3</v>
      </c>
    </row>
    <row r="76" customFormat="false" ht="15" hidden="false" customHeight="true" outlineLevel="0" collapsed="false"/>
    <row r="77" customFormat="false" ht="15" hidden="false" customHeight="true" outlineLevel="0" collapsed="false">
      <c r="A77" s="1" t="s">
        <v>31</v>
      </c>
      <c r="B77" s="1" t="str">
        <f aca="false">IF(OR(B73&lt;4,B73&gt;50,B74&lt;4,B74&gt;50),"—",INDEX(ROSTER!E$4:AF$50,B73-3,B75))</f>
        <v>OFF</v>
      </c>
    </row>
    <row r="78" customFormat="false" ht="15" hidden="false" customHeight="true" outlineLevel="0" collapsed="false">
      <c r="A78" s="1" t="s">
        <v>32</v>
      </c>
      <c r="B78" s="1" t="str">
        <f aca="false">IF(OR(B73&lt;4,B73&gt;50,B74&lt;4,B74&gt;50),"—",INDEX(ROSTER!E$4:AF$50,B74-3,B75))</f>
        <v>EL</v>
      </c>
    </row>
    <row r="79" customFormat="false" ht="15" hidden="false" customHeight="true" outlineLevel="0" collapsed="false">
      <c r="A79" s="1" t="s">
        <v>33</v>
      </c>
      <c r="B79" s="1" t="n">
        <f aca="false">IF(OR(B73&lt;4,B73&gt;50,B74&lt;4,B74&gt;50),"—",INDEX(ROSTER!D$4:D$50,B73-3))</f>
        <v>1</v>
      </c>
    </row>
    <row r="80" customFormat="false" ht="15" hidden="false" customHeight="true" outlineLevel="0" collapsed="false">
      <c r="A80" s="1" t="s">
        <v>34</v>
      </c>
      <c r="B80" s="1" t="n">
        <f aca="false">IF(OR(B73&lt;4,B73&gt;50,B74&lt;4,B74&gt;50),"—",INDEX(ROSTER!D$4:D$50,B74-3))</f>
        <v>1</v>
      </c>
    </row>
    <row r="81" customFormat="false" ht="15" hidden="false" customHeight="true" outlineLevel="0" collapsed="false">
      <c r="A81" s="1" t="s">
        <v>35</v>
      </c>
      <c r="B81" s="1" t="str">
        <f aca="false">IF(B79="—","—",IF(B79=B80,"✅ Equal",IF(B79&gt;B80,"⚠️ Drops "&amp;TEXT(B79-B80,"0.0"),"✅ Improves")))</f>
        <v>✅ Equal</v>
      </c>
    </row>
    <row r="82" customFormat="false" ht="15" hidden="false" customHeight="true" outlineLevel="0" collapsed="false">
      <c r="A82" s="1" t="s">
        <v>36</v>
      </c>
      <c r="B82" s="1" t="n">
        <f aca="false">IF(OR(B73&lt;4,B73&gt;50,B74&lt;4,B74&gt;50),"—",INDEX(FATIGUE_TRACKER!E$4:AF$50,B73-3,B75))</f>
        <v>1</v>
      </c>
    </row>
    <row r="83" customFormat="false" ht="15" hidden="false" customHeight="true" outlineLevel="0" collapsed="false">
      <c r="A83" s="1" t="s">
        <v>37</v>
      </c>
      <c r="B83" s="1" t="str">
        <f aca="false">IF(B82="—","—",IF(B82&gt;=CONFIG!$B$33-1,"🔴 BLOCKS — at limit",IF(B82&gt;=CONFIG!$B$33-2,"🟡 Close to limit","✅ OK")))</f>
        <v>✅ OK</v>
      </c>
    </row>
    <row r="84" customFormat="false" ht="15" hidden="false" customHeight="true" outlineLevel="0" collapsed="false">
      <c r="A84" s="1" t="s">
        <v>38</v>
      </c>
      <c r="B84" s="1" t="n">
        <f aca="false">IF(OR(B73&lt;4,B73&gt;50,B74&lt;4,B74&gt;50),"—",INDEX(ROSTER!AP$4:AP$50,B73-3))</f>
        <v>42.875</v>
      </c>
    </row>
    <row r="85" customFormat="false" ht="15" hidden="false" customHeight="true" outlineLevel="0" collapsed="false">
      <c r="A85" s="1" t="s">
        <v>39</v>
      </c>
      <c r="B85" s="1" t="str">
        <f aca="false">IF(B84="—","—",IF(B84+12.25&gt;48,"🔴 BREACH 48hr","✅ OK ("&amp;TEXT(B84+12.25,"0.0")&amp;"hrs)"))</f>
        <v>🔴 BREACH 48hr</v>
      </c>
    </row>
    <row r="86" customFormat="false" ht="15" hidden="false" customHeight="true" outlineLevel="0" collapsed="false"/>
    <row r="87" customFormat="false" ht="15" hidden="false" customHeight="true" outlineLevel="0" collapsed="false">
      <c r="A87" s="6" t="s">
        <v>40</v>
      </c>
      <c r="B87" s="6" t="str">
        <f aca="false">IF(B73=B74,"⚠️ SAME PERSON — not a swap",IF(OR(B73&lt;4,B73&gt;50,B74&lt;4,B74&gt;50),"🔴 INVALID ROW — use 4-50",IF(OR(ISNUMBER(SEARCH("🔴",B83)),ISNUMBER(SEARCH("🔴",B85))),"🔴 REJECT — breach detected",IF(ISNUMBER(SEARCH("⚠️",B81)),"🟡 APPROVE WITH CAUTION — skill drops","🟢 APPROVE — swap is safe"))))</f>
        <v>🔴 REJECT — breach detected</v>
      </c>
    </row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>
      <c r="A90" s="6" t="s">
        <v>41</v>
      </c>
    </row>
    <row r="91" customFormat="false" ht="15" hidden="false" customHeight="true" outlineLevel="0" collapsed="false">
      <c r="A91" s="1" t="s">
        <v>42</v>
      </c>
    </row>
    <row r="92" customFormat="false" ht="15" hidden="false" customHeight="true" outlineLevel="0" collapsed="false">
      <c r="A92" s="7" t="s">
        <v>43</v>
      </c>
      <c r="B92" s="7" t="s">
        <v>7</v>
      </c>
      <c r="C92" s="7" t="s">
        <v>44</v>
      </c>
      <c r="D92" s="7" t="s">
        <v>45</v>
      </c>
      <c r="E92" s="7" t="s">
        <v>8</v>
      </c>
      <c r="F92" s="7" t="s">
        <v>46</v>
      </c>
    </row>
    <row r="93" customFormat="false" ht="15" hidden="false" customHeight="true" outlineLevel="0" collapsed="false">
      <c r="A93" s="1" t="str">
        <f aca="false">IF(OR(D8="AVL",D8="OFF"),ROSTER!A4,"")</f>
        <v/>
      </c>
      <c r="B93" s="1" t="str">
        <f aca="false">IF(A93&lt;&gt;"",ROSTER!B4,"")</f>
        <v/>
      </c>
      <c r="C93" s="1" t="str">
        <f aca="false">IF(A93&lt;&gt;"",D8,"")</f>
        <v/>
      </c>
      <c r="D93" s="1" t="str">
        <f aca="false">IF(A93="","",IF(D8="AVL","🔵 FLOAT",IF(OR($B$3&lt;1,$B$3&gt;28),"—",IF(INDEX(FATIGUE_TRACKER!E$4:AF$50,1,$B$3)&gt;=CONFIG!$B$33-1,"⛔ FATIGUED",IF(INDEX(FATIGUE_TRACKER!E$4:AF$50,1,$B$3)&gt;=CONFIG!$B$33-2,"🟡 OT (tired)","🟣 OT")))))</f>
        <v/>
      </c>
      <c r="E93" s="1" t="str">
        <f aca="false">IF(A93&lt;&gt;"",ROSTER!D4,"")</f>
        <v/>
      </c>
      <c r="F93" s="1" t="str">
        <f aca="false">IF(A93="","",IF(OR($B$3&lt;1,$B$3&gt;28),"—",INDEX(FATIGUE_TRACKER!E$4:AF$50,1,$B$3)))</f>
        <v/>
      </c>
    </row>
    <row r="94" customFormat="false" ht="15" hidden="false" customHeight="true" outlineLevel="0" collapsed="false">
      <c r="A94" s="1" t="str">
        <f aca="false">IF(OR(D9="AVL",D9="OFF"),ROSTER!A5,"")</f>
        <v/>
      </c>
      <c r="B94" s="1" t="str">
        <f aca="false">IF(A94&lt;&gt;"",ROSTER!B5,"")</f>
        <v/>
      </c>
      <c r="C94" s="1" t="str">
        <f aca="false">IF(A94&lt;&gt;"",D9,"")</f>
        <v/>
      </c>
      <c r="D94" s="1" t="str">
        <f aca="false">IF(A94="","",IF(D9="AVL","🔵 FLOAT",IF(OR($B$3&lt;1,$B$3&gt;28),"—",IF(INDEX(FATIGUE_TRACKER!E$4:AF$50,2,$B$3)&gt;=CONFIG!$B$33-1,"⛔ FATIGUED",IF(INDEX(FATIGUE_TRACKER!E$4:AF$50,2,$B$3)&gt;=CONFIG!$B$33-2,"🟡 OT (tired)","🟣 OT")))))</f>
        <v/>
      </c>
      <c r="E94" s="1" t="str">
        <f aca="false">IF(A94&lt;&gt;"",ROSTER!D5,"")</f>
        <v/>
      </c>
      <c r="F94" s="1" t="str">
        <f aca="false">IF(A94="","",IF(OR($B$3&lt;1,$B$3&gt;28),"—",INDEX(FATIGUE_TRACKER!E$4:AF$50,2,$B$3)))</f>
        <v/>
      </c>
    </row>
    <row r="95" customFormat="false" ht="15" hidden="false" customHeight="true" outlineLevel="0" collapsed="false">
      <c r="A95" s="1" t="str">
        <f aca="false">IF(OR(D10="AVL",D10="OFF"),ROSTER!A6,"")</f>
        <v/>
      </c>
      <c r="B95" s="1" t="str">
        <f aca="false">IF(A95&lt;&gt;"",ROSTER!B6,"")</f>
        <v/>
      </c>
      <c r="C95" s="1" t="str">
        <f aca="false">IF(A95&lt;&gt;"",D10,"")</f>
        <v/>
      </c>
      <c r="D95" s="1" t="str">
        <f aca="false">IF(A95="","",IF(D10="AVL","🔵 FLOAT",IF(OR($B$3&lt;1,$B$3&gt;28),"—",IF(INDEX(FATIGUE_TRACKER!E$4:AF$50,3,$B$3)&gt;=CONFIG!$B$33-1,"⛔ FATIGUED",IF(INDEX(FATIGUE_TRACKER!E$4:AF$50,3,$B$3)&gt;=CONFIG!$B$33-2,"🟡 OT (tired)","🟣 OT")))))</f>
        <v/>
      </c>
      <c r="E95" s="1" t="str">
        <f aca="false">IF(A95&lt;&gt;"",ROSTER!D6,"")</f>
        <v/>
      </c>
      <c r="F95" s="1" t="str">
        <f aca="false">IF(A95="","",IF(OR($B$3&lt;1,$B$3&gt;28),"—",INDEX(FATIGUE_TRACKER!E$4:AF$50,3,$B$3)))</f>
        <v/>
      </c>
    </row>
    <row r="96" customFormat="false" ht="15" hidden="false" customHeight="true" outlineLevel="0" collapsed="false">
      <c r="A96" s="1" t="str">
        <f aca="false">IF(OR(D11="AVL",D11="OFF"),ROSTER!A7,"")</f>
        <v/>
      </c>
      <c r="B96" s="1" t="str">
        <f aca="false">IF(A96&lt;&gt;"",ROSTER!B7,"")</f>
        <v/>
      </c>
      <c r="C96" s="1" t="str">
        <f aca="false">IF(A96&lt;&gt;"",D11,"")</f>
        <v/>
      </c>
      <c r="D96" s="1" t="str">
        <f aca="false">IF(A96="","",IF(D11="AVL","🔵 FLOAT",IF(OR($B$3&lt;1,$B$3&gt;28),"—",IF(INDEX(FATIGUE_TRACKER!E$4:AF$50,4,$B$3)&gt;=CONFIG!$B$33-1,"⛔ FATIGUED",IF(INDEX(FATIGUE_TRACKER!E$4:AF$50,4,$B$3)&gt;=CONFIG!$B$33-2,"🟡 OT (tired)","🟣 OT")))))</f>
        <v/>
      </c>
      <c r="E96" s="1" t="str">
        <f aca="false">IF(A96&lt;&gt;"",ROSTER!D7,"")</f>
        <v/>
      </c>
      <c r="F96" s="1" t="str">
        <f aca="false">IF(A96="","",IF(OR($B$3&lt;1,$B$3&gt;28),"—",INDEX(FATIGUE_TRACKER!E$4:AF$50,4,$B$3)))</f>
        <v/>
      </c>
    </row>
    <row r="97" customFormat="false" ht="15.75" hidden="false" customHeight="true" outlineLevel="0" collapsed="false">
      <c r="A97" s="1" t="str">
        <f aca="false">IF(OR(D12="AVL",D12="OFF"),ROSTER!A8,"")</f>
        <v/>
      </c>
      <c r="B97" s="1" t="str">
        <f aca="false">IF(A97&lt;&gt;"",ROSTER!B8,"")</f>
        <v/>
      </c>
      <c r="C97" s="1" t="str">
        <f aca="false">IF(A97&lt;&gt;"",D12,"")</f>
        <v/>
      </c>
      <c r="D97" s="1" t="str">
        <f aca="false">IF(A97="","",IF(D12="AVL","🔵 FLOAT",IF(OR($B$3&lt;1,$B$3&gt;28),"—",IF(INDEX(FATIGUE_TRACKER!E$4:AF$50,5,$B$3)&gt;=CONFIG!$B$33-1,"⛔ FATIGUED",IF(INDEX(FATIGUE_TRACKER!E$4:AF$50,5,$B$3)&gt;=CONFIG!$B$33-2,"🟡 OT (tired)","🟣 OT")))))</f>
        <v/>
      </c>
      <c r="E97" s="1" t="str">
        <f aca="false">IF(A97&lt;&gt;"",ROSTER!D8,"")</f>
        <v/>
      </c>
      <c r="F97" s="1" t="str">
        <f aca="false">IF(A97="","",IF(OR($B$3&lt;1,$B$3&gt;28),"—",INDEX(FATIGUE_TRACKER!E$4:AF$50,5,$B$3)))</f>
        <v/>
      </c>
    </row>
    <row r="98" customFormat="false" ht="15" hidden="false" customHeight="true" outlineLevel="0" collapsed="false">
      <c r="A98" s="1" t="str">
        <f aca="false">IF(OR(D13="AVL",D13="OFF"),ROSTER!A9,"")</f>
        <v/>
      </c>
      <c r="B98" s="1" t="str">
        <f aca="false">IF(A98&lt;&gt;"",ROSTER!B9,"")</f>
        <v/>
      </c>
      <c r="C98" s="1" t="str">
        <f aca="false">IF(A98&lt;&gt;"",D13,"")</f>
        <v/>
      </c>
      <c r="D98" s="1" t="str">
        <f aca="false">IF(A98="","",IF(D13="AVL","🔵 FLOAT",IF(OR($B$3&lt;1,$B$3&gt;28),"—",IF(INDEX(FATIGUE_TRACKER!E$4:AF$50,6,$B$3)&gt;=CONFIG!$B$33-1,"⛔ FATIGUED",IF(INDEX(FATIGUE_TRACKER!E$4:AF$50,6,$B$3)&gt;=CONFIG!$B$33-2,"🟡 OT (tired)","🟣 OT")))))</f>
        <v/>
      </c>
      <c r="E98" s="1" t="str">
        <f aca="false">IF(A98&lt;&gt;"",ROSTER!D9,"")</f>
        <v/>
      </c>
      <c r="F98" s="1" t="str">
        <f aca="false">IF(A98="","",IF(OR($B$3&lt;1,$B$3&gt;28),"—",INDEX(FATIGUE_TRACKER!E$4:AF$50,6,$B$3)))</f>
        <v/>
      </c>
    </row>
    <row r="99" customFormat="false" ht="15" hidden="false" customHeight="true" outlineLevel="0" collapsed="false">
      <c r="A99" s="1" t="str">
        <f aca="false">IF(OR(D14="AVL",D14="OFF"),ROSTER!A10,"")</f>
        <v/>
      </c>
      <c r="B99" s="1" t="str">
        <f aca="false">IF(A99&lt;&gt;"",ROSTER!B10,"")</f>
        <v/>
      </c>
      <c r="C99" s="1" t="str">
        <f aca="false">IF(A99&lt;&gt;"",D14,"")</f>
        <v/>
      </c>
      <c r="D99" s="1" t="str">
        <f aca="false">IF(A99="","",IF(D14="AVL","🔵 FLOAT",IF(OR($B$3&lt;1,$B$3&gt;28),"—",IF(INDEX(FATIGUE_TRACKER!E$4:AF$50,7,$B$3)&gt;=CONFIG!$B$33-1,"⛔ FATIGUED",IF(INDEX(FATIGUE_TRACKER!E$4:AF$50,7,$B$3)&gt;=CONFIG!$B$33-2,"🟡 OT (tired)","🟣 OT")))))</f>
        <v/>
      </c>
      <c r="E99" s="1" t="str">
        <f aca="false">IF(A99&lt;&gt;"",ROSTER!D10,"")</f>
        <v/>
      </c>
      <c r="F99" s="1" t="str">
        <f aca="false">IF(A99="","",IF(OR($B$3&lt;1,$B$3&gt;28),"—",INDEX(FATIGUE_TRACKER!E$4:AF$50,7,$B$3)))</f>
        <v/>
      </c>
    </row>
    <row r="100" customFormat="false" ht="15" hidden="false" customHeight="true" outlineLevel="0" collapsed="false">
      <c r="A100" s="1" t="str">
        <f aca="false">IF(OR(D15="AVL",D15="OFF"),ROSTER!A11,"")</f>
        <v>Hannah Lee</v>
      </c>
      <c r="B100" s="1" t="str">
        <f aca="false">IF(A100&lt;&gt;"",ROSTER!B11,"")</f>
        <v>Day B</v>
      </c>
      <c r="C100" s="1" t="str">
        <f aca="false">IF(A100&lt;&gt;"",D15,"")</f>
        <v>OFF</v>
      </c>
      <c r="D100" s="1" t="str">
        <f aca="false">IF(A100="","",IF(D15="AVL","🔵 FLOAT",IF(OR($B$3&lt;1,$B$3&gt;28),"—",IF(INDEX(FATIGUE_TRACKER!E$4:AF$50,8,$B$3)&gt;=CONFIG!$B$33-1,"⛔ FATIGUED",IF(INDEX(FATIGUE_TRACKER!E$4:AF$50,8,$B$3)&gt;=CONFIG!$B$33-2,"🟡 OT (tired)","🟣 OT")))))</f>
        <v>🟣 OT</v>
      </c>
      <c r="E100" s="1" t="n">
        <f aca="false">IF(A100&lt;&gt;"",ROSTER!D11,"")</f>
        <v>1</v>
      </c>
      <c r="F100" s="1" t="n">
        <f aca="false">IF(A100="","",IF(OR($B$3&lt;1,$B$3&gt;28),"—",INDEX(FATIGUE_TRACKER!E$4:AF$50,8,$B$3)))</f>
        <v>1</v>
      </c>
    </row>
    <row r="101" customFormat="false" ht="15" hidden="false" customHeight="true" outlineLevel="0" collapsed="false">
      <c r="A101" s="1" t="str">
        <f aca="false">IF(OR(D16="AVL",D16="OFF"),ROSTER!A12,"")</f>
        <v>Ian Clark</v>
      </c>
      <c r="B101" s="1" t="str">
        <f aca="false">IF(A101&lt;&gt;"",ROSTER!B12,"")</f>
        <v>Day B</v>
      </c>
      <c r="C101" s="1" t="str">
        <f aca="false">IF(A101&lt;&gt;"",D16,"")</f>
        <v>OFF</v>
      </c>
      <c r="D101" s="1" t="str">
        <f aca="false">IF(A101="","",IF(D16="AVL","🔵 FLOAT",IF(OR($B$3&lt;1,$B$3&gt;28),"—",IF(INDEX(FATIGUE_TRACKER!E$4:AF$50,9,$B$3)&gt;=CONFIG!$B$33-1,"⛔ FATIGUED",IF(INDEX(FATIGUE_TRACKER!E$4:AF$50,9,$B$3)&gt;=CONFIG!$B$33-2,"🟡 OT (tired)","🟣 OT")))))</f>
        <v>🟣 OT</v>
      </c>
      <c r="E101" s="1" t="n">
        <f aca="false">IF(A101&lt;&gt;"",ROSTER!D12,"")</f>
        <v>0.5</v>
      </c>
      <c r="F101" s="1" t="n">
        <f aca="false">IF(A101="","",IF(OR($B$3&lt;1,$B$3&gt;28),"—",INDEX(FATIGUE_TRACKER!E$4:AF$50,9,$B$3)))</f>
        <v>1</v>
      </c>
    </row>
    <row r="102" customFormat="false" ht="15" hidden="false" customHeight="true" outlineLevel="0" collapsed="false">
      <c r="A102" s="1" t="str">
        <f aca="false">IF(OR(D17="AVL",D17="OFF"),ROSTER!A13,"")</f>
        <v>Julia Martin</v>
      </c>
      <c r="B102" s="12" t="str">
        <f aca="false">IF(A102&lt;&gt;"",ROSTER!B13,"")</f>
        <v>Day B</v>
      </c>
      <c r="C102" s="1" t="str">
        <f aca="false">IF(A102&lt;&gt;"",D17,"")</f>
        <v>OFF</v>
      </c>
      <c r="D102" s="1" t="str">
        <f aca="false">IF(A102="","",IF(D17="AVL","🔵 FLOAT",IF(OR($B$3&lt;1,$B$3&gt;28),"—",IF(INDEX(FATIGUE_TRACKER!E$4:AF$50,10,$B$3)&gt;=CONFIG!$B$33-1,"⛔ FATIGUED",IF(INDEX(FATIGUE_TRACKER!E$4:AF$50,10,$B$3)&gt;=CONFIG!$B$33-2,"🟡 OT (tired)","🟣 OT")))))</f>
        <v>🟣 OT</v>
      </c>
      <c r="E102" s="1" t="n">
        <f aca="false">IF(A102&lt;&gt;"",ROSTER!D13,"")</f>
        <v>1</v>
      </c>
      <c r="F102" s="1" t="n">
        <f aca="false">IF(A102="","",IF(OR($B$3&lt;1,$B$3&gt;28),"—",INDEX(FATIGUE_TRACKER!E$4:AF$50,10,$B$3)))</f>
        <v>1</v>
      </c>
    </row>
    <row r="103" customFormat="false" ht="15" hidden="false" customHeight="true" outlineLevel="0" collapsed="false">
      <c r="A103" s="1" t="str">
        <f aca="false">IF(OR(D18="AVL",D18="OFF"),ROSTER!A14,"")</f>
        <v>Kevin White</v>
      </c>
      <c r="B103" s="1" t="str">
        <f aca="false">IF(A103&lt;&gt;"",ROSTER!B14,"")</f>
        <v>Day B</v>
      </c>
      <c r="C103" s="1" t="str">
        <f aca="false">IF(A103&lt;&gt;"",D18,"")</f>
        <v>OFF</v>
      </c>
      <c r="D103" s="1" t="str">
        <f aca="false">IF(A103="","",IF(D18="AVL","🔵 FLOAT",IF(OR($B$3&lt;1,$B$3&gt;28),"—",IF(INDEX(FATIGUE_TRACKER!E$4:AF$50,11,$B$3)&gt;=CONFIG!$B$33-1,"⛔ FATIGUED",IF(INDEX(FATIGUE_TRACKER!E$4:AF$50,11,$B$3)&gt;=CONFIG!$B$33-2,"🟡 OT (tired)","🟣 OT")))))</f>
        <v>🟣 OT</v>
      </c>
      <c r="E103" s="1" t="n">
        <f aca="false">IF(A103&lt;&gt;"",ROSTER!D14,"")</f>
        <v>0.5</v>
      </c>
      <c r="F103" s="1" t="n">
        <f aca="false">IF(A103="","",IF(OR($B$3&lt;1,$B$3&gt;28),"—",INDEX(FATIGUE_TRACKER!E$4:AF$50,11,$B$3)))</f>
        <v>1</v>
      </c>
    </row>
    <row r="104" customFormat="false" ht="15" hidden="false" customHeight="true" outlineLevel="0" collapsed="false">
      <c r="A104" s="1" t="str">
        <f aca="false">IF(OR(D19="AVL",D19="OFF"),ROSTER!A15,"")</f>
        <v>Laura Adams</v>
      </c>
      <c r="B104" s="1" t="str">
        <f aca="false">IF(A104&lt;&gt;"",ROSTER!B15,"")</f>
        <v>Day B</v>
      </c>
      <c r="C104" s="1" t="str">
        <f aca="false">IF(A104&lt;&gt;"",D19,"")</f>
        <v>OFF</v>
      </c>
      <c r="D104" s="1" t="str">
        <f aca="false">IF(A104="","",IF(D19="AVL","🔵 FLOAT",IF(OR($B$3&lt;1,$B$3&gt;28),"—",IF(INDEX(FATIGUE_TRACKER!E$4:AF$50,12,$B$3)&gt;=CONFIG!$B$33-1,"⛔ FATIGUED",IF(INDEX(FATIGUE_TRACKER!E$4:AF$50,12,$B$3)&gt;=CONFIG!$B$33-2,"🟡 OT (tired)","🟣 OT")))))</f>
        <v>🟣 OT</v>
      </c>
      <c r="E104" s="1" t="n">
        <f aca="false">IF(A104&lt;&gt;"",ROSTER!D15,"")</f>
        <v>1.5</v>
      </c>
      <c r="F104" s="1" t="n">
        <f aca="false">IF(A104="","",IF(OR($B$3&lt;1,$B$3&gt;28),"—",INDEX(FATIGUE_TRACKER!E$4:AF$50,12,$B$3)))</f>
        <v>1</v>
      </c>
    </row>
    <row r="105" customFormat="false" ht="15" hidden="false" customHeight="true" outlineLevel="0" collapsed="false">
      <c r="A105" s="1" t="str">
        <f aca="false">IF(OR(D20="AVL",D20="OFF"),ROSTER!A16,"")</f>
        <v>Mike Taylor</v>
      </c>
      <c r="B105" s="1" t="str">
        <f aca="false">IF(A105&lt;&gt;"",ROSTER!B16,"")</f>
        <v>Day B</v>
      </c>
      <c r="C105" s="1" t="str">
        <f aca="false">IF(A105&lt;&gt;"",D20,"")</f>
        <v>OFF</v>
      </c>
      <c r="D105" s="1" t="str">
        <f aca="false">IF(A105="","",IF(D20="AVL","🔵 FLOAT",IF(OR($B$3&lt;1,$B$3&gt;28),"—",IF(INDEX(FATIGUE_TRACKER!E$4:AF$50,13,$B$3)&gt;=CONFIG!$B$33-1,"⛔ FATIGUED",IF(INDEX(FATIGUE_TRACKER!E$4:AF$50,13,$B$3)&gt;=CONFIG!$B$33-2,"🟡 OT (tired)","🟣 OT")))))</f>
        <v>🟣 OT</v>
      </c>
      <c r="E105" s="1" t="n">
        <f aca="false">IF(A105&lt;&gt;"",ROSTER!D16,"")</f>
        <v>0.5</v>
      </c>
      <c r="F105" s="1" t="n">
        <f aca="false">IF(A105="","",IF(OR($B$3&lt;1,$B$3&gt;28),"—",INDEX(FATIGUE_TRACKER!E$4:AF$50,13,$B$3)))</f>
        <v>1</v>
      </c>
    </row>
    <row r="106" customFormat="false" ht="15" hidden="false" customHeight="true" outlineLevel="0" collapsed="false">
      <c r="A106" s="1" t="str">
        <f aca="false">IF(OR(D21="AVL",D21="OFF"),ROSTER!A17,"")</f>
        <v>Nina Patel</v>
      </c>
      <c r="B106" s="1" t="str">
        <f aca="false">IF(A106&lt;&gt;"",ROSTER!B17,"")</f>
        <v>Day B</v>
      </c>
      <c r="C106" s="1" t="str">
        <f aca="false">IF(A106&lt;&gt;"",D21,"")</f>
        <v>OFF</v>
      </c>
      <c r="D106" s="1" t="str">
        <f aca="false">IF(A106="","",IF(D21="AVL","🔵 FLOAT",IF(OR($B$3&lt;1,$B$3&gt;28),"—",IF(INDEX(FATIGUE_TRACKER!E$4:AF$50,14,$B$3)&gt;=CONFIG!$B$33-1,"⛔ FATIGUED",IF(INDEX(FATIGUE_TRACKER!E$4:AF$50,14,$B$3)&gt;=CONFIG!$B$33-2,"🟡 OT (tired)","🟣 OT")))))</f>
        <v>🟣 OT</v>
      </c>
      <c r="E106" s="1" t="n">
        <f aca="false">IF(A106&lt;&gt;"",ROSTER!D17,"")</f>
        <v>1</v>
      </c>
      <c r="F106" s="1" t="n">
        <f aca="false">IF(A106="","",IF(OR($B$3&lt;1,$B$3&gt;28),"—",INDEX(FATIGUE_TRACKER!E$4:AF$50,14,$B$3)))</f>
        <v>1</v>
      </c>
    </row>
    <row r="107" customFormat="false" ht="15" hidden="false" customHeight="true" outlineLevel="0" collapsed="false">
      <c r="A107" s="1" t="str">
        <f aca="false">IF(OR(D22="AVL",D22="OFF"),ROSTER!A18,"")</f>
        <v/>
      </c>
      <c r="B107" s="1" t="str">
        <f aca="false">IF(A107&lt;&gt;"",ROSTER!B18,"")</f>
        <v/>
      </c>
      <c r="C107" s="1" t="str">
        <f aca="false">IF(A107&lt;&gt;"",D22,"")</f>
        <v/>
      </c>
      <c r="D107" s="1" t="str">
        <f aca="false">IF(A107="","",IF(D22="AVL","🔵 FLOAT",IF(OR($B$3&lt;1,$B$3&gt;28),"—",IF(INDEX(FATIGUE_TRACKER!E$4:AF$50,15,$B$3)&gt;=CONFIG!$B$33-1,"⛔ FATIGUED",IF(INDEX(FATIGUE_TRACKER!E$4:AF$50,15,$B$3)&gt;=CONFIG!$B$33-2,"🟡 OT (tired)","🟣 OT")))))</f>
        <v/>
      </c>
      <c r="E107" s="1" t="str">
        <f aca="false">IF(A107&lt;&gt;"",ROSTER!D18,"")</f>
        <v/>
      </c>
      <c r="F107" s="1" t="str">
        <f aca="false">IF(A107="","",IF(OR($B$3&lt;1,$B$3&gt;28),"—",INDEX(FATIGUE_TRACKER!E$4:AF$50,15,$B$3)))</f>
        <v/>
      </c>
    </row>
    <row r="108" customFormat="false" ht="15" hidden="false" customHeight="true" outlineLevel="0" collapsed="false">
      <c r="A108" s="1" t="str">
        <f aca="false">IF(OR(D23="AVL",D23="OFF"),ROSTER!A19,"")</f>
        <v/>
      </c>
      <c r="B108" s="1" t="str">
        <f aca="false">IF(A108&lt;&gt;"",ROSTER!B19,"")</f>
        <v/>
      </c>
      <c r="C108" s="1" t="str">
        <f aca="false">IF(A108&lt;&gt;"",D23,"")</f>
        <v/>
      </c>
      <c r="D108" s="1" t="str">
        <f aca="false">IF(A108="","",IF(D23="AVL","🔵 FLOAT",IF(OR($B$3&lt;1,$B$3&gt;28),"—",IF(INDEX(FATIGUE_TRACKER!E$4:AF$50,16,$B$3)&gt;=CONFIG!$B$33-1,"⛔ FATIGUED",IF(INDEX(FATIGUE_TRACKER!E$4:AF$50,16,$B$3)&gt;=CONFIG!$B$33-2,"🟡 OT (tired)","🟣 OT")))))</f>
        <v/>
      </c>
      <c r="E108" s="1" t="str">
        <f aca="false">IF(A108&lt;&gt;"",ROSTER!D19,"")</f>
        <v/>
      </c>
      <c r="F108" s="1" t="str">
        <f aca="false">IF(A108="","",IF(OR($B$3&lt;1,$B$3&gt;28),"—",INDEX(FATIGUE_TRACKER!E$4:AF$50,16,$B$3)))</f>
        <v/>
      </c>
    </row>
    <row r="109" customFormat="false" ht="15" hidden="false" customHeight="true" outlineLevel="0" collapsed="false">
      <c r="A109" s="1" t="str">
        <f aca="false">IF(OR(D24="AVL",D24="OFF"),ROSTER!A20,"")</f>
        <v/>
      </c>
      <c r="B109" s="1" t="str">
        <f aca="false">IF(A109&lt;&gt;"",ROSTER!B20,"")</f>
        <v/>
      </c>
      <c r="C109" s="1" t="str">
        <f aca="false">IF(A109&lt;&gt;"",D24,"")</f>
        <v/>
      </c>
      <c r="D109" s="1" t="str">
        <f aca="false">IF(A109="","",IF(D24="AVL","🔵 FLOAT",IF(OR($B$3&lt;1,$B$3&gt;28),"—",IF(INDEX(FATIGUE_TRACKER!E$4:AF$50,17,$B$3)&gt;=CONFIG!$B$33-1,"⛔ FATIGUED",IF(INDEX(FATIGUE_TRACKER!E$4:AF$50,17,$B$3)&gt;=CONFIG!$B$33-2,"🟡 OT (tired)","🟣 OT")))))</f>
        <v/>
      </c>
      <c r="E109" s="1" t="str">
        <f aca="false">IF(A109&lt;&gt;"",ROSTER!D20,"")</f>
        <v/>
      </c>
      <c r="F109" s="1" t="str">
        <f aca="false">IF(A109="","",IF(OR($B$3&lt;1,$B$3&gt;28),"—",INDEX(FATIGUE_TRACKER!E$4:AF$50,17,$B$3)))</f>
        <v/>
      </c>
    </row>
    <row r="110" customFormat="false" ht="15" hidden="false" customHeight="true" outlineLevel="0" collapsed="false">
      <c r="A110" s="1" t="str">
        <f aca="false">IF(OR(D25="AVL",D25="OFF"),ROSTER!A21,"")</f>
        <v>Rachel Green</v>
      </c>
      <c r="B110" s="1" t="str">
        <f aca="false">IF(A110&lt;&gt;"",ROSTER!B21,"")</f>
        <v>Night B</v>
      </c>
      <c r="C110" s="1" t="str">
        <f aca="false">IF(A110&lt;&gt;"",D25,"")</f>
        <v>OFF</v>
      </c>
      <c r="D110" s="1" t="str">
        <f aca="false">IF(A110="","",IF(D25="AVL","🔵 FLOAT",IF(OR($B$3&lt;1,$B$3&gt;28),"—",IF(INDEX(FATIGUE_TRACKER!E$4:AF$50,18,$B$3)&gt;=CONFIG!$B$33-1,"⛔ FATIGUED",IF(INDEX(FATIGUE_TRACKER!E$4:AF$50,18,$B$3)&gt;=CONFIG!$B$33-2,"🟡 OT (tired)","🟣 OT")))))</f>
        <v>🟣 OT</v>
      </c>
      <c r="E110" s="1" t="n">
        <f aca="false">IF(A110&lt;&gt;"",ROSTER!D21,"")</f>
        <v>1</v>
      </c>
      <c r="F110" s="1" t="n">
        <f aca="false">IF(A110="","",IF(OR($B$3&lt;1,$B$3&gt;28),"—",INDEX(FATIGUE_TRACKER!E$4:AF$50,18,$B$3)))</f>
        <v>1</v>
      </c>
    </row>
    <row r="111" customFormat="false" ht="15" hidden="false" customHeight="true" outlineLevel="0" collapsed="false">
      <c r="A111" s="1" t="str">
        <f aca="false">IF(OR(D26="AVL",D26="OFF"),ROSTER!A22,"")</f>
        <v>Steve Black</v>
      </c>
      <c r="B111" s="1" t="str">
        <f aca="false">IF(A111&lt;&gt;"",ROSTER!B22,"")</f>
        <v>Night B</v>
      </c>
      <c r="C111" s="1" t="str">
        <f aca="false">IF(A111&lt;&gt;"",D26,"")</f>
        <v>OFF</v>
      </c>
      <c r="D111" s="1" t="str">
        <f aca="false">IF(A111="","",IF(D26="AVL","🔵 FLOAT",IF(OR($B$3&lt;1,$B$3&gt;28),"—",IF(INDEX(FATIGUE_TRACKER!E$4:AF$50,19,$B$3)&gt;=CONFIG!$B$33-1,"⛔ FATIGUED",IF(INDEX(FATIGUE_TRACKER!E$4:AF$50,19,$B$3)&gt;=CONFIG!$B$33-2,"🟡 OT (tired)","🟣 OT")))))</f>
        <v>🟣 OT</v>
      </c>
      <c r="E111" s="1" t="n">
        <f aca="false">IF(A111&lt;&gt;"",ROSTER!D22,"")</f>
        <v>0.5</v>
      </c>
      <c r="F111" s="1" t="n">
        <f aca="false">IF(A111="","",IF(OR($B$3&lt;1,$B$3&gt;28),"—",INDEX(FATIGUE_TRACKER!E$4:AF$50,19,$B$3)))</f>
        <v>1</v>
      </c>
    </row>
    <row r="112" customFormat="false" ht="15" hidden="false" customHeight="true" outlineLevel="0" collapsed="false">
      <c r="A112" s="1" t="str">
        <f aca="false">IF(OR(D27="AVL",D27="OFF"),ROSTER!A23,"")</f>
        <v>Tina Hall</v>
      </c>
      <c r="B112" s="1" t="str">
        <f aca="false">IF(A112&lt;&gt;"",ROSTER!B23,"")</f>
        <v>Night B</v>
      </c>
      <c r="C112" s="1" t="str">
        <f aca="false">IF(A112&lt;&gt;"",D27,"")</f>
        <v>OFF</v>
      </c>
      <c r="D112" s="1" t="str">
        <f aca="false">IF(A112="","",IF(D27="AVL","🔵 FLOAT",IF(OR($B$3&lt;1,$B$3&gt;28),"—",IF(INDEX(FATIGUE_TRACKER!E$4:AF$50,20,$B$3)&gt;=CONFIG!$B$33-1,"⛔ FATIGUED",IF(INDEX(FATIGUE_TRACKER!E$4:AF$50,20,$B$3)&gt;=CONFIG!$B$33-2,"🟡 OT (tired)","🟣 OT")))))</f>
        <v>🟣 OT</v>
      </c>
      <c r="E112" s="1" t="n">
        <f aca="false">IF(A112&lt;&gt;"",ROSTER!D23,"")</f>
        <v>0.5</v>
      </c>
      <c r="F112" s="1" t="n">
        <f aca="false">IF(A112="","",IF(OR($B$3&lt;1,$B$3&gt;28),"—",INDEX(FATIGUE_TRACKER!E$4:AF$50,20,$B$3)))</f>
        <v>1</v>
      </c>
    </row>
    <row r="113" customFormat="false" ht="15" hidden="false" customHeight="true" outlineLevel="0" collapsed="false">
      <c r="A113" s="1" t="str">
        <f aca="false">IF(OR(D28="AVL",D28="OFF"),ROSTER!A24,"")</f>
        <v>Uma Shah</v>
      </c>
      <c r="B113" s="1" t="str">
        <f aca="false">IF(A113&lt;&gt;"",ROSTER!B24,"")</f>
        <v>Float</v>
      </c>
      <c r="C113" s="1" t="str">
        <f aca="false">IF(A113&lt;&gt;"",D28,"")</f>
        <v>AVL</v>
      </c>
      <c r="D113" s="1" t="str">
        <f aca="false">IF(A113="","",IF(D28="AVL","🔵 FLOAT",IF(OR($B$3&lt;1,$B$3&gt;28),"—",IF(INDEX(FATIGUE_TRACKER!E$4:AF$50,21,$B$3)&gt;=CONFIG!$B$33-1,"⛔ FATIGUED",IF(INDEX(FATIGUE_TRACKER!E$4:AF$50,21,$B$3)&gt;=CONFIG!$B$33-2,"🟡 OT (tired)","🟣 OT")))))</f>
        <v>🔵 FLOAT</v>
      </c>
      <c r="E113" s="1" t="n">
        <f aca="false">IF(A113&lt;&gt;"",ROSTER!D24,"")</f>
        <v>1</v>
      </c>
      <c r="F113" s="1" t="n">
        <f aca="false">IF(A113="","",IF(OR($B$3&lt;1,$B$3&gt;28),"—",INDEX(FATIGUE_TRACKER!E$4:AF$50,21,$B$3)))</f>
        <v>0</v>
      </c>
    </row>
    <row r="114" customFormat="false" ht="15" hidden="false" customHeight="true" outlineLevel="0" collapsed="false">
      <c r="A114" s="1" t="str">
        <f aca="false">IF(OR(D29="AVL",D29="OFF"),ROSTER!A25,"")</f>
        <v>Victor Chen</v>
      </c>
      <c r="B114" s="1" t="str">
        <f aca="false">IF(A114&lt;&gt;"",ROSTER!B25,"")</f>
        <v>Float</v>
      </c>
      <c r="C114" s="1" t="str">
        <f aca="false">IF(A114&lt;&gt;"",D29,"")</f>
        <v>AVL</v>
      </c>
      <c r="D114" s="1" t="str">
        <f aca="false">IF(A114="","",IF(D29="AVL","🔵 FLOAT",IF(OR($B$3&lt;1,$B$3&gt;28),"—",IF(INDEX(FATIGUE_TRACKER!E$4:AF$50,22,$B$3)&gt;=CONFIG!$B$33-1,"⛔ FATIGUED",IF(INDEX(FATIGUE_TRACKER!E$4:AF$50,22,$B$3)&gt;=CONFIG!$B$33-2,"🟡 OT (tired)","🟣 OT")))))</f>
        <v>🔵 FLOAT</v>
      </c>
      <c r="E114" s="1" t="n">
        <f aca="false">IF(A114&lt;&gt;"",ROSTER!D25,"")</f>
        <v>0.5</v>
      </c>
      <c r="F114" s="1" t="n">
        <f aca="false">IF(A114="","",IF(OR($B$3&lt;1,$B$3&gt;28),"—",INDEX(FATIGUE_TRACKER!E$4:AF$50,22,$B$3)))</f>
        <v>0</v>
      </c>
    </row>
    <row r="115" customFormat="false" ht="15" hidden="false" customHeight="true" outlineLevel="0" collapsed="false">
      <c r="A115" s="1" t="str">
        <f aca="false">IF(OR(D30="AVL",D30="OFF"),ROSTER!A26,"")</f>
        <v>Wendy Jones</v>
      </c>
      <c r="B115" s="1" t="str">
        <f aca="false">IF(A115&lt;&gt;"",ROSTER!B26,"")</f>
        <v>Float</v>
      </c>
      <c r="C115" s="1" t="str">
        <f aca="false">IF(A115&lt;&gt;"",D30,"")</f>
        <v>AVL</v>
      </c>
      <c r="D115" s="1" t="str">
        <f aca="false">IF(A115="","",IF(D30="AVL","🔵 FLOAT",IF(OR($B$3&lt;1,$B$3&gt;28),"—",IF(INDEX(FATIGUE_TRACKER!E$4:AF$50,23,$B$3)&gt;=CONFIG!$B$33-1,"⛔ FATIGUED",IF(INDEX(FATIGUE_TRACKER!E$4:AF$50,23,$B$3)&gt;=CONFIG!$B$33-2,"🟡 OT (tired)","🟣 OT")))))</f>
        <v>🔵 FLOAT</v>
      </c>
      <c r="E115" s="1" t="n">
        <f aca="false">IF(A115&lt;&gt;"",ROSTER!D26,"")</f>
        <v>0.5</v>
      </c>
      <c r="F115" s="1" t="n">
        <f aca="false">IF(A115="","",IF(OR($B$3&lt;1,$B$3&gt;28),"—",INDEX(FATIGUE_TRACKER!E$4:AF$50,23,$B$3)))</f>
        <v>0</v>
      </c>
    </row>
    <row r="116" customFormat="false" ht="15" hidden="false" customHeight="true" outlineLevel="0" collapsed="false">
      <c r="A116" s="1" t="str">
        <f aca="false">IF(OR(D31="AVL",D31="OFF"),ROSTER!A27,"")</f>
        <v/>
      </c>
      <c r="B116" s="1" t="str">
        <f aca="false">IF(A116&lt;&gt;"",ROSTER!B27,"")</f>
        <v/>
      </c>
      <c r="C116" s="1" t="str">
        <f aca="false">IF(A116&lt;&gt;"",D31,"")</f>
        <v/>
      </c>
      <c r="D116" s="1" t="str">
        <f aca="false">IF(A116="","",IF(D31="AVL","🔵 FLOAT",IF(OR($B$3&lt;1,$B$3&gt;28),"—",IF(INDEX(FATIGUE_TRACKER!E$4:AF$50,24,$B$3)&gt;=CONFIG!$B$33-1,"⛔ FATIGUED",IF(INDEX(FATIGUE_TRACKER!E$4:AF$50,24,$B$3)&gt;=CONFIG!$B$33-2,"🟡 OT (tired)","🟣 OT")))))</f>
        <v/>
      </c>
      <c r="E116" s="1" t="str">
        <f aca="false">IF(A116&lt;&gt;"",ROSTER!D27,"")</f>
        <v/>
      </c>
      <c r="F116" s="1" t="str">
        <f aca="false">IF(A116="","",IF(OR($B$3&lt;1,$B$3&gt;28),"—",INDEX(FATIGUE_TRACKER!E$4:AF$50,24,$B$3)))</f>
        <v/>
      </c>
    </row>
    <row r="117" customFormat="false" ht="15" hidden="false" customHeight="true" outlineLevel="0" collapsed="false">
      <c r="A117" s="1" t="str">
        <f aca="false">IF(OR(D32="AVL",D32="OFF"),ROSTER!A28,"")</f>
        <v>Yasmin Reed</v>
      </c>
      <c r="B117" s="1" t="str">
        <f aca="false">IF(A117&lt;&gt;"",ROSTER!B28,"")</f>
        <v>Day B</v>
      </c>
      <c r="C117" s="1" t="str">
        <f aca="false">IF(A117&lt;&gt;"",D32,"")</f>
        <v>OFF</v>
      </c>
      <c r="D117" s="1" t="str">
        <f aca="false">IF(A117="","",IF(D32="AVL","🔵 FLOAT",IF(OR($B$3&lt;1,$B$3&gt;28),"—",IF(INDEX(FATIGUE_TRACKER!E$4:AF$50,25,$B$3)&gt;=CONFIG!$B$33-1,"⛔ FATIGUED",IF(INDEX(FATIGUE_TRACKER!E$4:AF$50,25,$B$3)&gt;=CONFIG!$B$33-2,"🟡 OT (tired)","🟣 OT")))))</f>
        <v>🟣 OT</v>
      </c>
      <c r="E117" s="1" t="n">
        <f aca="false">IF(A117&lt;&gt;"",ROSTER!D28,"")</f>
        <v>1</v>
      </c>
      <c r="F117" s="1" t="n">
        <f aca="false">IF(A117="","",IF(OR($B$3&lt;1,$B$3&gt;28),"—",INDEX(FATIGUE_TRACKER!E$4:AF$50,25,$B$3)))</f>
        <v>1</v>
      </c>
    </row>
    <row r="118" customFormat="false" ht="15" hidden="false" customHeight="true" outlineLevel="0" collapsed="false">
      <c r="A118" s="1" t="str">
        <f aca="false">IF(OR(D33="AVL",D33="OFF"),ROSTER!A29,"")</f>
        <v/>
      </c>
      <c r="B118" s="1" t="str">
        <f aca="false">IF(A118&lt;&gt;"",ROSTER!B29,"")</f>
        <v/>
      </c>
      <c r="C118" s="1" t="str">
        <f aca="false">IF(A118&lt;&gt;"",D33,"")</f>
        <v/>
      </c>
      <c r="D118" s="1" t="str">
        <f aca="false">IF(A118="","",IF(D33="AVL","🔵 FLOAT",IF(OR($B$3&lt;1,$B$3&gt;28),"—",IF(INDEX(FATIGUE_TRACKER!E$4:AF$50,26,$B$3)&gt;=CONFIG!$B$33-1,"⛔ FATIGUED",IF(INDEX(FATIGUE_TRACKER!E$4:AF$50,26,$B$3)&gt;=CONFIG!$B$33-2,"🟡 OT (tired)","🟣 OT")))))</f>
        <v/>
      </c>
      <c r="E118" s="1" t="str">
        <f aca="false">IF(A118&lt;&gt;"",ROSTER!D29,"")</f>
        <v/>
      </c>
      <c r="F118" s="1" t="str">
        <f aca="false">IF(A118="","",IF(OR($B$3&lt;1,$B$3&gt;28),"—",INDEX(FATIGUE_TRACKER!E$4:AF$50,26,$B$3)))</f>
        <v/>
      </c>
    </row>
    <row r="119" customFormat="false" ht="15" hidden="false" customHeight="true" outlineLevel="0" collapsed="false">
      <c r="A119" s="1" t="str">
        <f aca="false">IF(OR(D34="AVL",D34="OFF"),ROSTER!A30,"")</f>
        <v/>
      </c>
      <c r="B119" s="1" t="str">
        <f aca="false">IF(A119&lt;&gt;"",ROSTER!B30,"")</f>
        <v/>
      </c>
      <c r="C119" s="1" t="str">
        <f aca="false">IF(A119&lt;&gt;"",D34,"")</f>
        <v/>
      </c>
      <c r="D119" s="1" t="str">
        <f aca="false">IF(A119="","",IF(D34="AVL","🔵 FLOAT",IF(OR($B$3&lt;1,$B$3&gt;28),"—",IF(INDEX(FATIGUE_TRACKER!E$4:AF$50,27,$B$3)&gt;=CONFIG!$B$33-1,"⛔ FATIGUED",IF(INDEX(FATIGUE_TRACKER!E$4:AF$50,27,$B$3)&gt;=CONFIG!$B$33-2,"🟡 OT (tired)","🟣 OT")))))</f>
        <v/>
      </c>
      <c r="E119" s="1" t="str">
        <f aca="false">IF(A119&lt;&gt;"",ROSTER!D30,"")</f>
        <v/>
      </c>
      <c r="F119" s="1" t="str">
        <f aca="false">IF(A119="","",IF(OR($B$3&lt;1,$B$3&gt;28),"—",INDEX(FATIGUE_TRACKER!E$4:AF$50,27,$B$3)))</f>
        <v/>
      </c>
    </row>
    <row r="120" customFormat="false" ht="15" hidden="false" customHeight="true" outlineLevel="0" collapsed="false">
      <c r="A120" s="1" t="str">
        <f aca="false">IF(OR(D35="AVL",D35="OFF"),ROSTER!A31,"")</f>
        <v/>
      </c>
      <c r="B120" s="1" t="str">
        <f aca="false">IF(A120&lt;&gt;"",ROSTER!B31,"")</f>
        <v/>
      </c>
      <c r="C120" s="1" t="str">
        <f aca="false">IF(A120&lt;&gt;"",D35,"")</f>
        <v/>
      </c>
      <c r="D120" s="1" t="str">
        <f aca="false">IF(A120="","",IF(D35="AVL","🔵 FLOAT",IF(OR($B$3&lt;1,$B$3&gt;28),"—",IF(INDEX(FATIGUE_TRACKER!E$4:AF$50,28,$B$3)&gt;=CONFIG!$B$33-1,"⛔ FATIGUED",IF(INDEX(FATIGUE_TRACKER!E$4:AF$50,28,$B$3)&gt;=CONFIG!$B$33-2,"🟡 OT (tired)","🟣 OT")))))</f>
        <v/>
      </c>
      <c r="E120" s="1" t="str">
        <f aca="false">IF(A120&lt;&gt;"",ROSTER!D31,"")</f>
        <v/>
      </c>
      <c r="F120" s="1" t="str">
        <f aca="false">IF(A120="","",IF(OR($B$3&lt;1,$B$3&gt;28),"—",INDEX(FATIGUE_TRACKER!E$4:AF$50,28,$B$3)))</f>
        <v/>
      </c>
    </row>
    <row r="121" customFormat="false" ht="15" hidden="false" customHeight="true" outlineLevel="0" collapsed="false">
      <c r="A121" s="1" t="str">
        <f aca="false">IF(OR(D36="AVL",D36="OFF"),ROSTER!A32,"")</f>
        <v/>
      </c>
      <c r="B121" s="1" t="str">
        <f aca="false">IF(A121&lt;&gt;"",ROSTER!B32,"")</f>
        <v/>
      </c>
      <c r="C121" s="1" t="str">
        <f aca="false">IF(A121&lt;&gt;"",D36,"")</f>
        <v/>
      </c>
      <c r="D121" s="1" t="str">
        <f aca="false">IF(A121="","",IF(D36="AVL","🔵 FLOAT",IF(OR($B$3&lt;1,$B$3&gt;28),"—",IF(INDEX(FATIGUE_TRACKER!E$4:AF$50,29,$B$3)&gt;=CONFIG!$B$33-1,"⛔ FATIGUED",IF(INDEX(FATIGUE_TRACKER!E$4:AF$50,29,$B$3)&gt;=CONFIG!$B$33-2,"🟡 OT (tired)","🟣 OT")))))</f>
        <v/>
      </c>
      <c r="E121" s="1" t="str">
        <f aca="false">IF(A121&lt;&gt;"",ROSTER!D32,"")</f>
        <v/>
      </c>
      <c r="F121" s="1" t="str">
        <f aca="false">IF(A121="","",IF(OR($B$3&lt;1,$B$3&gt;28),"—",INDEX(FATIGUE_TRACKER!E$4:AF$50,29,$B$3)))</f>
        <v/>
      </c>
    </row>
    <row r="122" customFormat="false" ht="15" hidden="false" customHeight="true" outlineLevel="0" collapsed="false">
      <c r="A122" s="1" t="str">
        <f aca="false">IF(OR(D37="AVL",D37="OFF"),ROSTER!A33,"")</f>
        <v/>
      </c>
      <c r="B122" s="1" t="str">
        <f aca="false">IF(A122&lt;&gt;"",ROSTER!B33,"")</f>
        <v/>
      </c>
      <c r="C122" s="1" t="str">
        <f aca="false">IF(A122&lt;&gt;"",D37,"")</f>
        <v/>
      </c>
      <c r="D122" s="1" t="str">
        <f aca="false">IF(A122="","",IF(D37="AVL","🔵 FLOAT",IF(OR($B$3&lt;1,$B$3&gt;28),"—",IF(INDEX(FATIGUE_TRACKER!E$4:AF$50,30,$B$3)&gt;=CONFIG!$B$33-1,"⛔ FATIGUED",IF(INDEX(FATIGUE_TRACKER!E$4:AF$50,30,$B$3)&gt;=CONFIG!$B$33-2,"🟡 OT (tired)","🟣 OT")))))</f>
        <v/>
      </c>
      <c r="E122" s="1" t="str">
        <f aca="false">IF(A122&lt;&gt;"",ROSTER!D33,"")</f>
        <v/>
      </c>
      <c r="F122" s="1" t="str">
        <f aca="false">IF(A122="","",IF(OR($B$3&lt;1,$B$3&gt;28),"—",INDEX(FATIGUE_TRACKER!E$4:AF$50,30,$B$3)))</f>
        <v/>
      </c>
    </row>
    <row r="123" customFormat="false" ht="15" hidden="false" customHeight="true" outlineLevel="0" collapsed="false">
      <c r="A123" s="1" t="str">
        <f aca="false">IF(OR(D38="AVL",D38="OFF"),ROSTER!A34,"")</f>
        <v/>
      </c>
      <c r="B123" s="1" t="str">
        <f aca="false">IF(A123&lt;&gt;"",ROSTER!B34,"")</f>
        <v/>
      </c>
      <c r="C123" s="1" t="str">
        <f aca="false">IF(A123&lt;&gt;"",D38,"")</f>
        <v/>
      </c>
      <c r="D123" s="1" t="str">
        <f aca="false">IF(A123="","",IF(D38="AVL","🔵 FLOAT",IF(OR($B$3&lt;1,$B$3&gt;28),"—",IF(INDEX(FATIGUE_TRACKER!E$4:AF$50,31,$B$3)&gt;=CONFIG!$B$33-1,"⛔ FATIGUED",IF(INDEX(FATIGUE_TRACKER!E$4:AF$50,31,$B$3)&gt;=CONFIG!$B$33-2,"🟡 OT (tired)","🟣 OT")))))</f>
        <v/>
      </c>
      <c r="E123" s="1" t="str">
        <f aca="false">IF(A123&lt;&gt;"",ROSTER!D34,"")</f>
        <v/>
      </c>
      <c r="F123" s="1" t="str">
        <f aca="false">IF(A123="","",IF(OR($B$3&lt;1,$B$3&gt;28),"—",INDEX(FATIGUE_TRACKER!E$4:AF$50,31,$B$3)))</f>
        <v/>
      </c>
    </row>
    <row r="124" customFormat="false" ht="15" hidden="false" customHeight="true" outlineLevel="0" collapsed="false">
      <c r="A124" s="1" t="str">
        <f aca="false">IF(OR(D39="AVL",D39="OFF"),ROSTER!A35,"")</f>
        <v/>
      </c>
      <c r="B124" s="1" t="str">
        <f aca="false">IF(A124&lt;&gt;"",ROSTER!B35,"")</f>
        <v/>
      </c>
      <c r="C124" s="1" t="str">
        <f aca="false">IF(A124&lt;&gt;"",D39,"")</f>
        <v/>
      </c>
      <c r="D124" s="1" t="str">
        <f aca="false">IF(A124="","",IF(D39="AVL","🔵 FLOAT",IF(OR($B$3&lt;1,$B$3&gt;28),"—",IF(INDEX(FATIGUE_TRACKER!E$4:AF$50,32,$B$3)&gt;=CONFIG!$B$33-1,"⛔ FATIGUED",IF(INDEX(FATIGUE_TRACKER!E$4:AF$50,32,$B$3)&gt;=CONFIG!$B$33-2,"🟡 OT (tired)","🟣 OT")))))</f>
        <v/>
      </c>
      <c r="E124" s="1" t="str">
        <f aca="false">IF(A124&lt;&gt;"",ROSTER!D35,"")</f>
        <v/>
      </c>
      <c r="F124" s="1" t="str">
        <f aca="false">IF(A124="","",IF(OR($B$3&lt;1,$B$3&gt;28),"—",INDEX(FATIGUE_TRACKER!E$4:AF$50,32,$B$3)))</f>
        <v/>
      </c>
    </row>
    <row r="125" customFormat="false" ht="15" hidden="false" customHeight="true" outlineLevel="0" collapsed="false">
      <c r="A125" s="1" t="str">
        <f aca="false">IF(OR(D40="AVL",D40="OFF"),ROSTER!A36,"")</f>
        <v/>
      </c>
      <c r="B125" s="1" t="str">
        <f aca="false">IF(A125&lt;&gt;"",ROSTER!B36,"")</f>
        <v/>
      </c>
      <c r="C125" s="1" t="str">
        <f aca="false">IF(A125&lt;&gt;"",D40,"")</f>
        <v/>
      </c>
      <c r="D125" s="1" t="str">
        <f aca="false">IF(A125="","",IF(D40="AVL","🔵 FLOAT",IF(OR($B$3&lt;1,$B$3&gt;28),"—",IF(INDEX(FATIGUE_TRACKER!E$4:AF$50,33,$B$3)&gt;=CONFIG!$B$33-1,"⛔ FATIGUED",IF(INDEX(FATIGUE_TRACKER!E$4:AF$50,33,$B$3)&gt;=CONFIG!$B$33-2,"🟡 OT (tired)","🟣 OT")))))</f>
        <v/>
      </c>
      <c r="E125" s="1" t="str">
        <f aca="false">IF(A125&lt;&gt;"",ROSTER!D36,"")</f>
        <v/>
      </c>
      <c r="F125" s="1" t="str">
        <f aca="false">IF(A125="","",IF(OR($B$3&lt;1,$B$3&gt;28),"—",INDEX(FATIGUE_TRACKER!E$4:AF$50,33,$B$3)))</f>
        <v/>
      </c>
    </row>
    <row r="126" customFormat="false" ht="15" hidden="false" customHeight="true" outlineLevel="0" collapsed="false">
      <c r="A126" s="1" t="str">
        <f aca="false">IF(OR(D41="AVL",D41="OFF"),ROSTER!A37,"")</f>
        <v/>
      </c>
      <c r="B126" s="1" t="str">
        <f aca="false">IF(A126&lt;&gt;"",ROSTER!B37,"")</f>
        <v/>
      </c>
      <c r="C126" s="1" t="str">
        <f aca="false">IF(A126&lt;&gt;"",D41,"")</f>
        <v/>
      </c>
      <c r="D126" s="1" t="str">
        <f aca="false">IF(A126="","",IF(D41="AVL","🔵 FLOAT",IF(OR($B$3&lt;1,$B$3&gt;28),"—",IF(INDEX(FATIGUE_TRACKER!E$4:AF$50,34,$B$3)&gt;=CONFIG!$B$33-1,"⛔ FATIGUED",IF(INDEX(FATIGUE_TRACKER!E$4:AF$50,34,$B$3)&gt;=CONFIG!$B$33-2,"🟡 OT (tired)","🟣 OT")))))</f>
        <v/>
      </c>
      <c r="E126" s="1" t="str">
        <f aca="false">IF(A126&lt;&gt;"",ROSTER!D37,"")</f>
        <v/>
      </c>
      <c r="F126" s="1" t="str">
        <f aca="false">IF(A126="","",IF(OR($B$3&lt;1,$B$3&gt;28),"—",INDEX(FATIGUE_TRACKER!E$4:AF$50,34,$B$3)))</f>
        <v/>
      </c>
    </row>
    <row r="127" customFormat="false" ht="15" hidden="false" customHeight="true" outlineLevel="0" collapsed="false">
      <c r="A127" s="1" t="str">
        <f aca="false">IF(OR(D42="AVL",D42="OFF"),ROSTER!A38,"")</f>
        <v/>
      </c>
      <c r="B127" s="1" t="str">
        <f aca="false">IF(A127&lt;&gt;"",ROSTER!B38,"")</f>
        <v/>
      </c>
      <c r="C127" s="1" t="str">
        <f aca="false">IF(A127&lt;&gt;"",D42,"")</f>
        <v/>
      </c>
      <c r="D127" s="1" t="str">
        <f aca="false">IF(A127="","",IF(D42="AVL","🔵 FLOAT",IF(OR($B$3&lt;1,$B$3&gt;28),"—",IF(INDEX(FATIGUE_TRACKER!E$4:AF$50,35,$B$3)&gt;=CONFIG!$B$33-1,"⛔ FATIGUED",IF(INDEX(FATIGUE_TRACKER!E$4:AF$50,35,$B$3)&gt;=CONFIG!$B$33-2,"🟡 OT (tired)","🟣 OT")))))</f>
        <v/>
      </c>
      <c r="E127" s="1" t="str">
        <f aca="false">IF(A127&lt;&gt;"",ROSTER!D38,"")</f>
        <v/>
      </c>
      <c r="F127" s="1" t="str">
        <f aca="false">IF(A127="","",IF(OR($B$3&lt;1,$B$3&gt;28),"—",INDEX(FATIGUE_TRACKER!E$4:AF$50,35,$B$3)))</f>
        <v/>
      </c>
    </row>
    <row r="128" customFormat="false" ht="15" hidden="false" customHeight="true" outlineLevel="0" collapsed="false">
      <c r="A128" s="1" t="str">
        <f aca="false">IF(OR(D43="AVL",D43="OFF"),ROSTER!A39,"")</f>
        <v/>
      </c>
      <c r="B128" s="1" t="str">
        <f aca="false">IF(A128&lt;&gt;"",ROSTER!B39,"")</f>
        <v/>
      </c>
      <c r="C128" s="1" t="str">
        <f aca="false">IF(A128&lt;&gt;"",D43,"")</f>
        <v/>
      </c>
      <c r="D128" s="1" t="str">
        <f aca="false">IF(A128="","",IF(D43="AVL","🔵 FLOAT",IF(OR($B$3&lt;1,$B$3&gt;28),"—",IF(INDEX(FATIGUE_TRACKER!E$4:AF$50,36,$B$3)&gt;=CONFIG!$B$33-1,"⛔ FATIGUED",IF(INDEX(FATIGUE_TRACKER!E$4:AF$50,36,$B$3)&gt;=CONFIG!$B$33-2,"🟡 OT (tired)","🟣 OT")))))</f>
        <v/>
      </c>
      <c r="E128" s="1" t="str">
        <f aca="false">IF(A128&lt;&gt;"",ROSTER!D39,"")</f>
        <v/>
      </c>
      <c r="F128" s="1" t="str">
        <f aca="false">IF(A128="","",IF(OR($B$3&lt;1,$B$3&gt;28),"—",INDEX(FATIGUE_TRACKER!E$4:AF$50,36,$B$3)))</f>
        <v/>
      </c>
    </row>
    <row r="129" customFormat="false" ht="15" hidden="false" customHeight="true" outlineLevel="0" collapsed="false">
      <c r="A129" s="1" t="str">
        <f aca="false">IF(OR(D44="AVL",D44="OFF"),ROSTER!A40,"")</f>
        <v/>
      </c>
      <c r="B129" s="1" t="str">
        <f aca="false">IF(A129&lt;&gt;"",ROSTER!B40,"")</f>
        <v/>
      </c>
      <c r="C129" s="1" t="str">
        <f aca="false">IF(A129&lt;&gt;"",D44,"")</f>
        <v/>
      </c>
      <c r="D129" s="1" t="str">
        <f aca="false">IF(A129="","",IF(D44="AVL","🔵 FLOAT",IF(OR($B$3&lt;1,$B$3&gt;28),"—",IF(INDEX(FATIGUE_TRACKER!E$4:AF$50,37,$B$3)&gt;=CONFIG!$B$33-1,"⛔ FATIGUED",IF(INDEX(FATIGUE_TRACKER!E$4:AF$50,37,$B$3)&gt;=CONFIG!$B$33-2,"🟡 OT (tired)","🟣 OT")))))</f>
        <v/>
      </c>
      <c r="E129" s="1" t="str">
        <f aca="false">IF(A129&lt;&gt;"",ROSTER!D40,"")</f>
        <v/>
      </c>
      <c r="F129" s="1" t="str">
        <f aca="false">IF(A129="","",IF(OR($B$3&lt;1,$B$3&gt;28),"—",INDEX(FATIGUE_TRACKER!E$4:AF$50,37,$B$3)))</f>
        <v/>
      </c>
    </row>
    <row r="130" customFormat="false" ht="15" hidden="false" customHeight="true" outlineLevel="0" collapsed="false">
      <c r="A130" s="1" t="str">
        <f aca="false">IF(OR(D45="AVL",D45="OFF"),ROSTER!A41,"")</f>
        <v/>
      </c>
      <c r="B130" s="1" t="str">
        <f aca="false">IF(A130&lt;&gt;"",ROSTER!B41,"")</f>
        <v/>
      </c>
      <c r="C130" s="1" t="str">
        <f aca="false">IF(A130&lt;&gt;"",D45,"")</f>
        <v/>
      </c>
      <c r="D130" s="1" t="str">
        <f aca="false">IF(A130="","",IF(D45="AVL","🔵 FLOAT",IF(OR($B$3&lt;1,$B$3&gt;28),"—",IF(INDEX(FATIGUE_TRACKER!E$4:AF$50,38,$B$3)&gt;=CONFIG!$B$33-1,"⛔ FATIGUED",IF(INDEX(FATIGUE_TRACKER!E$4:AF$50,38,$B$3)&gt;=CONFIG!$B$33-2,"🟡 OT (tired)","🟣 OT")))))</f>
        <v/>
      </c>
      <c r="E130" s="1" t="str">
        <f aca="false">IF(A130&lt;&gt;"",ROSTER!D41,"")</f>
        <v/>
      </c>
      <c r="F130" s="1" t="str">
        <f aca="false">IF(A130="","",IF(OR($B$3&lt;1,$B$3&gt;28),"—",INDEX(FATIGUE_TRACKER!E$4:AF$50,38,$B$3)))</f>
        <v/>
      </c>
    </row>
    <row r="131" customFormat="false" ht="15" hidden="false" customHeight="true" outlineLevel="0" collapsed="false">
      <c r="A131" s="1" t="str">
        <f aca="false">IF(OR(D46="AVL",D46="OFF"),ROSTER!A42,"")</f>
        <v/>
      </c>
      <c r="B131" s="1" t="str">
        <f aca="false">IF(A131&lt;&gt;"",ROSTER!B42,"")</f>
        <v/>
      </c>
      <c r="C131" s="1" t="str">
        <f aca="false">IF(A131&lt;&gt;"",D46,"")</f>
        <v/>
      </c>
      <c r="D131" s="1" t="str">
        <f aca="false">IF(A131="","",IF(D46="AVL","🔵 FLOAT",IF(OR($B$3&lt;1,$B$3&gt;28),"—",IF(INDEX(FATIGUE_TRACKER!E$4:AF$50,39,$B$3)&gt;=CONFIG!$B$33-1,"⛔ FATIGUED",IF(INDEX(FATIGUE_TRACKER!E$4:AF$50,39,$B$3)&gt;=CONFIG!$B$33-2,"🟡 OT (tired)","🟣 OT")))))</f>
        <v/>
      </c>
      <c r="E131" s="1" t="str">
        <f aca="false">IF(A131&lt;&gt;"",ROSTER!D42,"")</f>
        <v/>
      </c>
      <c r="F131" s="1" t="str">
        <f aca="false">IF(A131="","",IF(OR($B$3&lt;1,$B$3&gt;28),"—",INDEX(FATIGUE_TRACKER!E$4:AF$50,39,$B$3)))</f>
        <v/>
      </c>
    </row>
    <row r="132" customFormat="false" ht="15" hidden="false" customHeight="true" outlineLevel="0" collapsed="false">
      <c r="A132" s="1" t="str">
        <f aca="false">IF(OR(D47="AVL",D47="OFF"),ROSTER!A43,"")</f>
        <v/>
      </c>
      <c r="B132" s="1" t="str">
        <f aca="false">IF(A132&lt;&gt;"",ROSTER!B43,"")</f>
        <v/>
      </c>
      <c r="C132" s="1" t="str">
        <f aca="false">IF(A132&lt;&gt;"",D47,"")</f>
        <v/>
      </c>
      <c r="D132" s="1" t="str">
        <f aca="false">IF(A132="","",IF(D47="AVL","🔵 FLOAT",IF(OR($B$3&lt;1,$B$3&gt;28),"—",IF(INDEX(FATIGUE_TRACKER!E$4:AF$50,40,$B$3)&gt;=CONFIG!$B$33-1,"⛔ FATIGUED",IF(INDEX(FATIGUE_TRACKER!E$4:AF$50,40,$B$3)&gt;=CONFIG!$B$33-2,"🟡 OT (tired)","🟣 OT")))))</f>
        <v/>
      </c>
      <c r="E132" s="1" t="str">
        <f aca="false">IF(A132&lt;&gt;"",ROSTER!D43,"")</f>
        <v/>
      </c>
      <c r="F132" s="1" t="str">
        <f aca="false">IF(A132="","",IF(OR($B$3&lt;1,$B$3&gt;28),"—",INDEX(FATIGUE_TRACKER!E$4:AF$50,40,$B$3)))</f>
        <v/>
      </c>
    </row>
    <row r="133" customFormat="false" ht="15" hidden="false" customHeight="true" outlineLevel="0" collapsed="false">
      <c r="A133" s="1" t="str">
        <f aca="false">IF(OR(D48="AVL",D48="OFF"),ROSTER!A44,"")</f>
        <v/>
      </c>
      <c r="B133" s="1" t="str">
        <f aca="false">IF(A133&lt;&gt;"",ROSTER!B44,"")</f>
        <v/>
      </c>
      <c r="C133" s="1" t="str">
        <f aca="false">IF(A133&lt;&gt;"",D48,"")</f>
        <v/>
      </c>
      <c r="D133" s="1" t="str">
        <f aca="false">IF(A133="","",IF(D48="AVL","🔵 FLOAT",IF(OR($B$3&lt;1,$B$3&gt;28),"—",IF(INDEX(FATIGUE_TRACKER!E$4:AF$50,41,$B$3)&gt;=CONFIG!$B$33-1,"⛔ FATIGUED",IF(INDEX(FATIGUE_TRACKER!E$4:AF$50,41,$B$3)&gt;=CONFIG!$B$33-2,"🟡 OT (tired)","🟣 OT")))))</f>
        <v/>
      </c>
      <c r="E133" s="1" t="str">
        <f aca="false">IF(A133&lt;&gt;"",ROSTER!D44,"")</f>
        <v/>
      </c>
      <c r="F133" s="1" t="str">
        <f aca="false">IF(A133="","",IF(OR($B$3&lt;1,$B$3&gt;28),"—",INDEX(FATIGUE_TRACKER!E$4:AF$50,41,$B$3)))</f>
        <v/>
      </c>
    </row>
    <row r="134" customFormat="false" ht="15" hidden="false" customHeight="true" outlineLevel="0" collapsed="false">
      <c r="A134" s="1" t="str">
        <f aca="false">IF(OR(D49="AVL",D49="OFF"),ROSTER!A45,"")</f>
        <v/>
      </c>
      <c r="B134" s="1" t="str">
        <f aca="false">IF(A134&lt;&gt;"",ROSTER!B45,"")</f>
        <v/>
      </c>
      <c r="C134" s="1" t="str">
        <f aca="false">IF(A134&lt;&gt;"",D49,"")</f>
        <v/>
      </c>
      <c r="D134" s="1" t="str">
        <f aca="false">IF(A134="","",IF(D49="AVL","🔵 FLOAT",IF(OR($B$3&lt;1,$B$3&gt;28),"—",IF(INDEX(FATIGUE_TRACKER!E$4:AF$50,42,$B$3)&gt;=CONFIG!$B$33-1,"⛔ FATIGUED",IF(INDEX(FATIGUE_TRACKER!E$4:AF$50,42,$B$3)&gt;=CONFIG!$B$33-2,"🟡 OT (tired)","🟣 OT")))))</f>
        <v/>
      </c>
      <c r="E134" s="1" t="str">
        <f aca="false">IF(A134&lt;&gt;"",ROSTER!D45,"")</f>
        <v/>
      </c>
      <c r="F134" s="1" t="str">
        <f aca="false">IF(A134="","",IF(OR($B$3&lt;1,$B$3&gt;28),"—",INDEX(FATIGUE_TRACKER!E$4:AF$50,42,$B$3)))</f>
        <v/>
      </c>
    </row>
    <row r="135" customFormat="false" ht="15" hidden="false" customHeight="true" outlineLevel="0" collapsed="false">
      <c r="A135" s="1" t="str">
        <f aca="false">IF(OR(D50="AVL",D50="OFF"),ROSTER!A46,"")</f>
        <v/>
      </c>
      <c r="B135" s="1" t="str">
        <f aca="false">IF(A135&lt;&gt;"",ROSTER!B46,"")</f>
        <v/>
      </c>
      <c r="C135" s="1" t="str">
        <f aca="false">IF(A135&lt;&gt;"",D50,"")</f>
        <v/>
      </c>
      <c r="D135" s="1" t="str">
        <f aca="false">IF(A135="","",IF(D50="AVL","🔵 FLOAT",IF(OR($B$3&lt;1,$B$3&gt;28),"—",IF(INDEX(FATIGUE_TRACKER!E$4:AF$50,43,$B$3)&gt;=CONFIG!$B$33-1,"⛔ FATIGUED",IF(INDEX(FATIGUE_TRACKER!E$4:AF$50,43,$B$3)&gt;=CONFIG!$B$33-2,"🟡 OT (tired)","🟣 OT")))))</f>
        <v/>
      </c>
      <c r="E135" s="1" t="str">
        <f aca="false">IF(A135&lt;&gt;"",ROSTER!D46,"")</f>
        <v/>
      </c>
      <c r="F135" s="1" t="str">
        <f aca="false">IF(A135="","",IF(OR($B$3&lt;1,$B$3&gt;28),"—",INDEX(FATIGUE_TRACKER!E$4:AF$50,43,$B$3)))</f>
        <v/>
      </c>
    </row>
    <row r="136" customFormat="false" ht="15" hidden="false" customHeight="true" outlineLevel="0" collapsed="false">
      <c r="A136" s="1" t="str">
        <f aca="false">IF(OR(D51="AVL",D51="OFF"),ROSTER!A47,"")</f>
        <v/>
      </c>
      <c r="B136" s="1" t="str">
        <f aca="false">IF(A136&lt;&gt;"",ROSTER!B47,"")</f>
        <v/>
      </c>
      <c r="C136" s="1" t="str">
        <f aca="false">IF(A136&lt;&gt;"",D51,"")</f>
        <v/>
      </c>
      <c r="D136" s="1" t="str">
        <f aca="false">IF(A136="","",IF(D51="AVL","🔵 FLOAT",IF(OR($B$3&lt;1,$B$3&gt;28),"—",IF(INDEX(FATIGUE_TRACKER!E$4:AF$50,44,$B$3)&gt;=CONFIG!$B$33-1,"⛔ FATIGUED",IF(INDEX(FATIGUE_TRACKER!E$4:AF$50,44,$B$3)&gt;=CONFIG!$B$33-2,"🟡 OT (tired)","🟣 OT")))))</f>
        <v/>
      </c>
      <c r="E136" s="1" t="str">
        <f aca="false">IF(A136&lt;&gt;"",ROSTER!D47,"")</f>
        <v/>
      </c>
      <c r="F136" s="1" t="str">
        <f aca="false">IF(A136="","",IF(OR($B$3&lt;1,$B$3&gt;28),"—",INDEX(FATIGUE_TRACKER!E$4:AF$50,44,$B$3)))</f>
        <v/>
      </c>
    </row>
    <row r="137" customFormat="false" ht="15" hidden="false" customHeight="true" outlineLevel="0" collapsed="false">
      <c r="A137" s="1" t="str">
        <f aca="false">IF(OR(D52="AVL",D52="OFF"),ROSTER!A48,"")</f>
        <v/>
      </c>
      <c r="B137" s="1" t="str">
        <f aca="false">IF(A137&lt;&gt;"",ROSTER!B48,"")</f>
        <v/>
      </c>
      <c r="C137" s="1" t="str">
        <f aca="false">IF(A137&lt;&gt;"",D52,"")</f>
        <v/>
      </c>
      <c r="D137" s="1" t="str">
        <f aca="false">IF(A137="","",IF(D52="AVL","🔵 FLOAT",IF(OR($B$3&lt;1,$B$3&gt;28),"—",IF(INDEX(FATIGUE_TRACKER!E$4:AF$50,45,$B$3)&gt;=CONFIG!$B$33-1,"⛔ FATIGUED",IF(INDEX(FATIGUE_TRACKER!E$4:AF$50,45,$B$3)&gt;=CONFIG!$B$33-2,"🟡 OT (tired)","🟣 OT")))))</f>
        <v/>
      </c>
      <c r="E137" s="1" t="str">
        <f aca="false">IF(A137&lt;&gt;"",ROSTER!D48,"")</f>
        <v/>
      </c>
      <c r="F137" s="1" t="str">
        <f aca="false">IF(A137="","",IF(OR($B$3&lt;1,$B$3&gt;28),"—",INDEX(FATIGUE_TRACKER!E$4:AF$50,45,$B$3)))</f>
        <v/>
      </c>
    </row>
    <row r="138" customFormat="false" ht="15" hidden="false" customHeight="true" outlineLevel="0" collapsed="false">
      <c r="A138" s="1" t="str">
        <f aca="false">IF(OR(D53="AVL",D53="OFF"),ROSTER!A49,"")</f>
        <v/>
      </c>
      <c r="B138" s="1" t="str">
        <f aca="false">IF(A138&lt;&gt;"",ROSTER!B49,"")</f>
        <v/>
      </c>
      <c r="C138" s="1" t="str">
        <f aca="false">IF(A138&lt;&gt;"",D53,"")</f>
        <v/>
      </c>
      <c r="D138" s="1" t="str">
        <f aca="false">IF(A138="","",IF(D53="AVL","🔵 FLOAT",IF(OR($B$3&lt;1,$B$3&gt;28),"—",IF(INDEX(FATIGUE_TRACKER!E$4:AF$50,46,$B$3)&gt;=CONFIG!$B$33-1,"⛔ FATIGUED",IF(INDEX(FATIGUE_TRACKER!E$4:AF$50,46,$B$3)&gt;=CONFIG!$B$33-2,"🟡 OT (tired)","🟣 OT")))))</f>
        <v/>
      </c>
      <c r="E138" s="1" t="str">
        <f aca="false">IF(A138&lt;&gt;"",ROSTER!D49,"")</f>
        <v/>
      </c>
      <c r="F138" s="1" t="str">
        <f aca="false">IF(A138="","",IF(OR($B$3&lt;1,$B$3&gt;28),"—",INDEX(FATIGUE_TRACKER!E$4:AF$50,46,$B$3)))</f>
        <v/>
      </c>
    </row>
    <row r="139" customFormat="false" ht="15" hidden="false" customHeight="true" outlineLevel="0" collapsed="false">
      <c r="A139" s="1" t="str">
        <f aca="false">IF(OR(D54="AVL",D54="OFF"),ROSTER!A50,"")</f>
        <v/>
      </c>
      <c r="B139" s="1" t="str">
        <f aca="false">IF(A139&lt;&gt;"",ROSTER!B50,"")</f>
        <v/>
      </c>
      <c r="C139" s="1" t="str">
        <f aca="false">IF(A139&lt;&gt;"",D54,"")</f>
        <v/>
      </c>
      <c r="D139" s="1" t="str">
        <f aca="false">IF(A139="","",IF(D54="AVL","🔵 FLOAT",IF(OR($B$3&lt;1,$B$3&gt;28),"—",IF(INDEX(FATIGUE_TRACKER!E$4:AF$50,47,$B$3)&gt;=CONFIG!$B$33-1,"⛔ FATIGUED",IF(INDEX(FATIGUE_TRACKER!E$4:AF$50,47,$B$3)&gt;=CONFIG!$B$33-2,"🟡 OT (tired)","🟣 OT")))))</f>
        <v/>
      </c>
      <c r="E139" s="1" t="str">
        <f aca="false">IF(A139&lt;&gt;"",ROSTER!D50,"")</f>
        <v/>
      </c>
      <c r="F139" s="1" t="str">
        <f aca="false">IF(A139="","",IF(OR($B$3&lt;1,$B$3&gt;28),"—",INDEX(FATIGUE_TRACKER!E$4:AF$50,47,$B$3)))</f>
        <v/>
      </c>
    </row>
  </sheetData>
  <conditionalFormatting sqref="D8:D32">
    <cfRule type="cellIs" priority="2" operator="equal" aboveAverage="0" equalAverage="0" bottom="0" percent="0" rank="0" text="" dxfId="0">
      <formula>"SICK"</formula>
    </cfRule>
    <cfRule type="cellIs" priority="3" operator="equal" aboveAverage="0" equalAverage="0" bottom="0" percent="0" rank="0" text="" dxfId="1">
      <formula>"AL"</formula>
    </cfRule>
    <cfRule type="cellIs" priority="4" operator="equal" aboveAverage="0" equalAverage="0" bottom="0" percent="0" rank="0" text="" dxfId="2">
      <formula>"AVL"</formula>
    </cfRule>
    <cfRule type="cellIs" priority="5" operator="equal" aboveAverage="0" equalAverage="0" bottom="0" percent="0" rank="0" text="" dxfId="3">
      <formula>"OFF"</formula>
    </cfRule>
  </conditionalFormatting>
  <dataValidations count="3">
    <dataValidation allowBlank="false" error="Enter 4-28 (staff rows in ROSTER)" errorStyle="stop" errorTitle="Invalid Row" operator="between" showDropDown="false" showErrorMessage="false" showInputMessage="false" sqref="B51:B52" type="whole">
      <formula1>4</formula1>
      <formula2>28</formula2>
    </dataValidation>
    <dataValidation allowBlank="false" error="Enter 1-28" errorStyle="stop" errorTitle="Invalid Day" operator="between" showDropDown="false" showErrorMessage="false" showInputMessage="false" sqref="B53" type="whole">
      <formula1>1</formula1>
      <formula2>28</formula2>
    </dataValidation>
    <dataValidation allowBlank="false" error="Day must be between 1 and 28" errorStyle="stop" errorTitle="Invalid Day" operator="between" showDropDown="false" showErrorMessage="true" showInputMessage="false" sqref="B3" type="whole">
      <formula1>1</formula1>
      <formula2>28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55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8" min="8" style="1" width="14"/>
    <col collapsed="false" customWidth="true" hidden="false" outlineLevel="0" max="9" min="9" style="1" width="35"/>
  </cols>
  <sheetData>
    <row r="1" customFormat="false" ht="19.5" hidden="false" customHeight="true" outlineLevel="0" collapsed="false">
      <c r="A1" s="13" t="s">
        <v>47</v>
      </c>
    </row>
    <row r="3" customFormat="false" ht="15.75" hidden="false" customHeight="true" outlineLevel="0" collapsed="false">
      <c r="A3" s="6" t="s">
        <v>48</v>
      </c>
    </row>
    <row r="4" customFormat="false" ht="15" hidden="false" customHeight="true" outlineLevel="0" collapsed="false">
      <c r="A4" s="8" t="s">
        <v>49</v>
      </c>
      <c r="B4" s="8" t="s">
        <v>50</v>
      </c>
      <c r="C4" s="8" t="s">
        <v>51</v>
      </c>
    </row>
    <row r="5" customFormat="false" ht="15" hidden="false" customHeight="true" outlineLevel="0" collapsed="false">
      <c r="A5" s="14" t="s">
        <v>52</v>
      </c>
      <c r="B5" s="15" t="s">
        <v>53</v>
      </c>
      <c r="C5" s="1" t="s">
        <v>54</v>
      </c>
    </row>
    <row r="6" customFormat="false" ht="15" hidden="false" customHeight="true" outlineLevel="0" collapsed="false">
      <c r="A6" s="14" t="s">
        <v>55</v>
      </c>
      <c r="B6" s="15" t="s">
        <v>56</v>
      </c>
      <c r="C6" s="1" t="s">
        <v>57</v>
      </c>
    </row>
    <row r="7" customFormat="false" ht="15" hidden="false" customHeight="true" outlineLevel="0" collapsed="false">
      <c r="A7" s="16" t="s">
        <v>58</v>
      </c>
      <c r="B7" s="15" t="s">
        <v>59</v>
      </c>
      <c r="C7" s="1" t="s">
        <v>60</v>
      </c>
    </row>
    <row r="8" customFormat="false" ht="15" hidden="false" customHeight="true" outlineLevel="0" collapsed="false">
      <c r="A8" s="16" t="s">
        <v>61</v>
      </c>
      <c r="B8" s="15" t="s">
        <v>62</v>
      </c>
      <c r="C8" s="1" t="s">
        <v>63</v>
      </c>
    </row>
    <row r="9" customFormat="false" ht="15" hidden="false" customHeight="true" outlineLevel="0" collapsed="false">
      <c r="A9" s="17" t="s">
        <v>64</v>
      </c>
      <c r="B9" s="15" t="s">
        <v>65</v>
      </c>
      <c r="C9" s="1" t="s">
        <v>66</v>
      </c>
    </row>
    <row r="10" customFormat="false" ht="15" hidden="false" customHeight="true" outlineLevel="0" collapsed="false">
      <c r="A10" s="17" t="s">
        <v>67</v>
      </c>
      <c r="B10" s="15" t="s">
        <v>68</v>
      </c>
      <c r="C10" s="1" t="s">
        <v>69</v>
      </c>
    </row>
    <row r="13" customFormat="false" ht="15.75" hidden="false" customHeight="true" outlineLevel="0" collapsed="false">
      <c r="A13" s="18" t="s">
        <v>70</v>
      </c>
    </row>
    <row r="14" customFormat="false" ht="15" hidden="false" customHeight="true" outlineLevel="0" collapsed="false">
      <c r="A14" s="8" t="s">
        <v>71</v>
      </c>
      <c r="B14" s="15" t="s">
        <v>72</v>
      </c>
    </row>
    <row r="15" customFormat="false" ht="15" hidden="false" customHeight="true" outlineLevel="0" collapsed="false">
      <c r="A15" s="8" t="s">
        <v>73</v>
      </c>
      <c r="B15" s="15" t="s">
        <v>74</v>
      </c>
    </row>
    <row r="16" customFormat="false" ht="27.75" hidden="false" customHeight="true" outlineLevel="0" collapsed="false">
      <c r="A16" s="8" t="s">
        <v>75</v>
      </c>
      <c r="B16" s="15" t="s">
        <v>76</v>
      </c>
    </row>
    <row r="17" customFormat="false" ht="27.75" hidden="false" customHeight="true" outlineLevel="0" collapsed="false">
      <c r="A17" s="8" t="s">
        <v>77</v>
      </c>
      <c r="B17" s="15" t="s">
        <v>78</v>
      </c>
    </row>
    <row r="18" customFormat="false" ht="27.75" hidden="false" customHeight="true" outlineLevel="0" collapsed="false">
      <c r="A18" s="8" t="s">
        <v>79</v>
      </c>
      <c r="B18" s="15" t="s">
        <v>80</v>
      </c>
    </row>
    <row r="21" customFormat="false" ht="15.75" hidden="false" customHeight="true" outlineLevel="0" collapsed="false">
      <c r="A21" s="18" t="s">
        <v>81</v>
      </c>
    </row>
    <row r="22" customFormat="false" ht="15" hidden="false" customHeight="true" outlineLevel="0" collapsed="false">
      <c r="A22" s="1" t="s">
        <v>82</v>
      </c>
    </row>
    <row r="24" customFormat="false" ht="15" hidden="false" customHeight="true" outlineLevel="0" collapsed="false">
      <c r="A24" s="7" t="s">
        <v>83</v>
      </c>
      <c r="B24" s="7" t="s">
        <v>84</v>
      </c>
      <c r="C24" s="7" t="s">
        <v>85</v>
      </c>
      <c r="D24" s="7" t="s">
        <v>86</v>
      </c>
      <c r="E24" s="7" t="s">
        <v>87</v>
      </c>
      <c r="F24" s="7" t="s">
        <v>88</v>
      </c>
      <c r="G24" s="7" t="s">
        <v>89</v>
      </c>
    </row>
    <row r="25" customFormat="false" ht="15" hidden="false" customHeight="true" outlineLevel="0" collapsed="false">
      <c r="A25" s="1" t="s">
        <v>90</v>
      </c>
      <c r="B25" s="1" t="n">
        <v>0</v>
      </c>
      <c r="C25" s="1" t="n">
        <f aca="false">B25*7</f>
        <v>0</v>
      </c>
      <c r="D25" s="1" t="n">
        <f aca="false">MIN(C25,15)</f>
        <v>0</v>
      </c>
      <c r="E25" s="1" t="n">
        <f aca="false">MIN(MAX(C25-D25,0),CONFIG!$B$59)</f>
        <v>0</v>
      </c>
      <c r="F25" s="1" t="n">
        <f aca="false">MAX(C25-D25-E25,0)</f>
        <v>0</v>
      </c>
      <c r="G25" s="19" t="n">
        <f aca="false">(F25*0.7*12.25*CONFIG!$B$29+F25*0.3*12.25*CONFIG!$B$30)</f>
        <v>0</v>
      </c>
    </row>
    <row r="26" customFormat="false" ht="15" hidden="false" customHeight="true" outlineLevel="0" collapsed="false">
      <c r="A26" s="1" t="s">
        <v>91</v>
      </c>
      <c r="B26" s="1" t="n">
        <v>2</v>
      </c>
      <c r="C26" s="1" t="n">
        <f aca="false">B26*7</f>
        <v>14</v>
      </c>
      <c r="D26" s="1" t="n">
        <f aca="false">MIN(C26,15)</f>
        <v>14</v>
      </c>
      <c r="E26" s="1" t="n">
        <f aca="false">MIN(MAX(C26-D26,0),CONFIG!$B$59)</f>
        <v>0</v>
      </c>
      <c r="F26" s="1" t="n">
        <f aca="false">MAX(C26-D26-E26,0)</f>
        <v>0</v>
      </c>
      <c r="G26" s="19" t="n">
        <f aca="false">(F26*0.7*12.25*CONFIG!$B$29+F26*0.3*12.25*CONFIG!$B$30)</f>
        <v>0</v>
      </c>
    </row>
    <row r="27" customFormat="false" ht="15" hidden="false" customHeight="true" outlineLevel="0" collapsed="false">
      <c r="A27" s="1" t="s">
        <v>92</v>
      </c>
      <c r="B27" s="1" t="n">
        <v>4</v>
      </c>
      <c r="C27" s="1" t="n">
        <f aca="false">B27*7</f>
        <v>28</v>
      </c>
      <c r="D27" s="1" t="n">
        <f aca="false">MIN(C27,15)</f>
        <v>15</v>
      </c>
      <c r="E27" s="1" t="n">
        <f aca="false">MIN(MAX(C27-D27,0),CONFIG!$B$59)</f>
        <v>8</v>
      </c>
      <c r="F27" s="1" t="n">
        <f aca="false">MAX(C27-D27-E27,0)</f>
        <v>5</v>
      </c>
      <c r="G27" s="19" t="n">
        <f aca="false">(F27*0.7*12.25*CONFIG!$B$29+F27*0.3*12.25*CONFIG!$B$30)</f>
        <v>1457.75</v>
      </c>
    </row>
    <row r="28" customFormat="false" ht="15" hidden="false" customHeight="true" outlineLevel="0" collapsed="false">
      <c r="A28" s="1" t="s">
        <v>93</v>
      </c>
      <c r="B28" s="1" t="n">
        <v>5</v>
      </c>
      <c r="C28" s="1" t="n">
        <f aca="false">B28*7</f>
        <v>35</v>
      </c>
      <c r="D28" s="1" t="n">
        <f aca="false">MIN(C28,15)</f>
        <v>15</v>
      </c>
      <c r="E28" s="1" t="n">
        <f aca="false">MIN(MAX(C28-D28,0),CONFIG!$B$59)</f>
        <v>8</v>
      </c>
      <c r="F28" s="1" t="n">
        <f aca="false">MAX(C28-D28-E28,0)</f>
        <v>12</v>
      </c>
      <c r="G28" s="19" t="n">
        <f aca="false">(F28*0.7*12.25*CONFIG!$B$29+F28*0.3*12.25*CONFIG!$B$30)</f>
        <v>3498.6</v>
      </c>
    </row>
    <row r="29" customFormat="false" ht="15" hidden="false" customHeight="true" outlineLevel="0" collapsed="false">
      <c r="A29" s="1" t="s">
        <v>94</v>
      </c>
      <c r="B29" s="1" t="n">
        <v>6</v>
      </c>
      <c r="C29" s="1" t="n">
        <f aca="false">B29*7</f>
        <v>42</v>
      </c>
      <c r="D29" s="1" t="n">
        <f aca="false">MIN(C29,15)</f>
        <v>15</v>
      </c>
      <c r="E29" s="1" t="n">
        <f aca="false">MIN(MAX(C29-D29,0),CONFIG!$B$59)</f>
        <v>8</v>
      </c>
      <c r="F29" s="1" t="n">
        <f aca="false">MAX(C29-D29-E29,0)</f>
        <v>19</v>
      </c>
      <c r="G29" s="19" t="n">
        <f aca="false">(F29*0.7*12.25*CONFIG!$B$29+F29*0.3*12.25*CONFIG!$B$30)</f>
        <v>5539.45</v>
      </c>
    </row>
    <row r="30" customFormat="false" ht="15" hidden="false" customHeight="true" outlineLevel="0" collapsed="false">
      <c r="A30" s="1" t="s">
        <v>95</v>
      </c>
      <c r="B30" s="1" t="n">
        <v>8</v>
      </c>
      <c r="C30" s="1" t="n">
        <f aca="false">B30*7</f>
        <v>56</v>
      </c>
      <c r="D30" s="1" t="n">
        <f aca="false">MIN(C30,15)</f>
        <v>15</v>
      </c>
      <c r="E30" s="1" t="n">
        <f aca="false">MIN(MAX(C30-D30,0),CONFIG!$B$59)</f>
        <v>8</v>
      </c>
      <c r="F30" s="1" t="n">
        <f aca="false">MAX(C30-D30-E30,0)</f>
        <v>33</v>
      </c>
      <c r="G30" s="19" t="n">
        <f aca="false">(F30*0.7*12.25*CONFIG!$B$29+F30*0.3*12.25*CONFIG!$B$30)</f>
        <v>9621.15</v>
      </c>
    </row>
    <row r="32" customFormat="false" ht="15" hidden="false" customHeight="true" outlineLevel="0" collapsed="false">
      <c r="A32" s="20" t="s">
        <v>96</v>
      </c>
    </row>
    <row r="35" customFormat="false" ht="15.75" hidden="false" customHeight="true" outlineLevel="0" collapsed="false">
      <c r="A35" s="18" t="s">
        <v>97</v>
      </c>
    </row>
    <row r="37" customFormat="false" ht="15" hidden="false" customHeight="true" outlineLevel="0" collapsed="false">
      <c r="A37" s="7" t="s">
        <v>98</v>
      </c>
      <c r="B37" s="7" t="s">
        <v>19</v>
      </c>
      <c r="C37" s="7" t="s">
        <v>99</v>
      </c>
      <c r="D37" s="7" t="s">
        <v>100</v>
      </c>
      <c r="E37" s="7" t="s">
        <v>22</v>
      </c>
      <c r="F37" s="7" t="s">
        <v>101</v>
      </c>
      <c r="G37" s="7" t="s">
        <v>49</v>
      </c>
      <c r="H37" s="7" t="s">
        <v>102</v>
      </c>
      <c r="I37" s="7" t="s">
        <v>103</v>
      </c>
    </row>
    <row r="38" customFormat="false" ht="15" hidden="false" customHeight="true" outlineLevel="0" collapsed="false">
      <c r="A38" s="1" t="n">
        <v>1</v>
      </c>
      <c r="B38" s="1" t="n">
        <v>2</v>
      </c>
      <c r="C38" s="1" t="n">
        <f aca="false">MIN(B38,3)</f>
        <v>2</v>
      </c>
      <c r="D38" s="1" t="n">
        <f aca="false">MIN(MAX(B38-C38,0),4)</f>
        <v>0</v>
      </c>
      <c r="E38" s="1" t="n">
        <f aca="false">MAX(B38-C38-D38,0)</f>
        <v>0</v>
      </c>
      <c r="F38" s="1" t="n">
        <f aca="false">MAX(E38-ROUND(E38*CONFIG!$B$60,0),0)</f>
        <v>0</v>
      </c>
      <c r="G38" s="1" t="str">
        <f aca="false">IF(F38&gt;0,"🔴 LVL4-5",IF(E38&gt;0,"🟠 LVL3",IF(D38&gt;0,"🟡 LVL2",IF(C38&gt;0,"🟢 LVL1","⬜ LVL0"))))</f>
        <v>🟢 LVL1</v>
      </c>
      <c r="H38" s="19" t="n">
        <f aca="false">1539+D38*12.25*(CONFIG!$B$28-1)*CONFIG!$B$61+MIN(E38,ROUND(E38*CONFIG!$B$60,0))*0.7*12.25*CONFIG!$B$29+MIN(E38,ROUND(E38*CONFIG!$B$60,0))*0.3*12.25*CONFIG!$B$30+F38*CONFIG!$B$57*12.25</f>
        <v>1539</v>
      </c>
      <c r="I38" s="1" t="s">
        <v>104</v>
      </c>
    </row>
    <row r="39" customFormat="false" ht="15" hidden="false" customHeight="true" outlineLevel="0" collapsed="false">
      <c r="A39" s="1" t="n">
        <v>2</v>
      </c>
      <c r="B39" s="1" t="n">
        <v>4</v>
      </c>
      <c r="C39" s="1" t="n">
        <f aca="false">MIN(B39,3)</f>
        <v>3</v>
      </c>
      <c r="D39" s="1" t="n">
        <f aca="false">MIN(MAX(B39-C39,0),4)</f>
        <v>1</v>
      </c>
      <c r="E39" s="1" t="n">
        <f aca="false">MAX(B39-C39-D39,0)</f>
        <v>0</v>
      </c>
      <c r="F39" s="1" t="n">
        <f aca="false">MAX(E39-ROUND(E39*CONFIG!$B$60,0),0)</f>
        <v>0</v>
      </c>
      <c r="G39" s="1" t="str">
        <f aca="false">IF(F39&gt;0,"🔴 LVL4-5",IF(E39&gt;0,"🟠 LVL3",IF(D39&gt;0,"🟡 LVL2",IF(C39&gt;0,"🟢 LVL1","⬜ LVL0"))))</f>
        <v>🟡 LVL2</v>
      </c>
      <c r="H39" s="19" t="n">
        <f aca="false">1539+D39*12.25*(CONFIG!$B$28-1)*CONFIG!$B$61+MIN(E39,ROUND(E39*CONFIG!$B$60,0))*0.7*12.25*CONFIG!$B$29+MIN(E39,ROUND(E39*CONFIG!$B$60,0))*0.3*12.25*CONFIG!$B$30+F39*CONFIG!$B$57*12.25</f>
        <v>1688.5725</v>
      </c>
      <c r="I39" s="1" t="s">
        <v>105</v>
      </c>
    </row>
    <row r="40" customFormat="false" ht="15" hidden="false" customHeight="true" outlineLevel="0" collapsed="false">
      <c r="A40" s="1" t="n">
        <v>3</v>
      </c>
      <c r="B40" s="1" t="n">
        <v>7</v>
      </c>
      <c r="C40" s="1" t="n">
        <f aca="false">MIN(B40,3)</f>
        <v>3</v>
      </c>
      <c r="D40" s="1" t="n">
        <f aca="false">MIN(MAX(B40-C40,0),4)</f>
        <v>4</v>
      </c>
      <c r="E40" s="1" t="n">
        <f aca="false">MAX(B40-C40-D40,0)</f>
        <v>0</v>
      </c>
      <c r="F40" s="1" t="n">
        <f aca="false">MAX(E40-ROUND(E40*CONFIG!$B$60,0),0)</f>
        <v>0</v>
      </c>
      <c r="G40" s="1" t="str">
        <f aca="false">IF(F40&gt;0,"🔴 LVL4-5",IF(E40&gt;0,"🟠 LVL3",IF(D40&gt;0,"🟡 LVL2",IF(C40&gt;0,"🟢 LVL1","⬜ LVL0"))))</f>
        <v>🟡 LVL2</v>
      </c>
      <c r="H40" s="19" t="n">
        <f aca="false">1539+D40*12.25*(CONFIG!$B$28-1)*CONFIG!$B$61+MIN(E40,ROUND(E40*CONFIG!$B$60,0))*0.7*12.25*CONFIG!$B$29+MIN(E40,ROUND(E40*CONFIG!$B$60,0))*0.3*12.25*CONFIG!$B$30+F40*CONFIG!$B$57*12.25</f>
        <v>2137.29</v>
      </c>
      <c r="I40" s="1" t="s">
        <v>106</v>
      </c>
    </row>
    <row r="41" customFormat="false" ht="15" hidden="false" customHeight="true" outlineLevel="0" collapsed="false">
      <c r="A41" s="1" t="n">
        <v>4</v>
      </c>
      <c r="B41" s="1" t="n">
        <v>9</v>
      </c>
      <c r="C41" s="1" t="n">
        <f aca="false">MIN(B41,3)</f>
        <v>3</v>
      </c>
      <c r="D41" s="1" t="n">
        <f aca="false">MIN(MAX(B41-C41,0),4)</f>
        <v>4</v>
      </c>
      <c r="E41" s="1" t="n">
        <f aca="false">MAX(B41-C41-D41,0)</f>
        <v>2</v>
      </c>
      <c r="F41" s="1" t="n">
        <f aca="false">MAX(E41-ROUND(E41*CONFIG!$B$60,0),0)</f>
        <v>0</v>
      </c>
      <c r="G41" s="1" t="str">
        <f aca="false">IF(F41&gt;0,"🔴 LVL4-5",IF(E41&gt;0,"🟠 LVL3",IF(D41&gt;0,"🟡 LVL2",IF(C41&gt;0,"🟢 LVL1","⬜ LVL0"))))</f>
        <v>🟠 LVL3</v>
      </c>
      <c r="H41" s="19" t="n">
        <f aca="false">1539+D41*12.25*(CONFIG!$B$28-1)*CONFIG!$B$61+MIN(E41,ROUND(E41*CONFIG!$B$60,0))*0.7*12.25*CONFIG!$B$29+MIN(E41,ROUND(E41*CONFIG!$B$60,0))*0.3*12.25*CONFIG!$B$30+F41*CONFIG!$B$57*12.25</f>
        <v>2720.39</v>
      </c>
      <c r="I41" s="1" t="s">
        <v>107</v>
      </c>
    </row>
    <row r="42" customFormat="false" ht="15" hidden="false" customHeight="true" outlineLevel="0" collapsed="false">
      <c r="A42" s="1" t="n">
        <v>5</v>
      </c>
      <c r="B42" s="1" t="n">
        <v>10</v>
      </c>
      <c r="C42" s="1" t="n">
        <f aca="false">MIN(B42,3)</f>
        <v>3</v>
      </c>
      <c r="D42" s="1" t="n">
        <f aca="false">MIN(MAX(B42-C42,0),4)</f>
        <v>4</v>
      </c>
      <c r="E42" s="1" t="n">
        <f aca="false">MAX(B42-C42-D42,0)</f>
        <v>3</v>
      </c>
      <c r="F42" s="1" t="n">
        <f aca="false">MAX(E42-ROUND(E42*CONFIG!$B$60,0),0)</f>
        <v>0</v>
      </c>
      <c r="G42" s="1" t="str">
        <f aca="false">IF(F42&gt;0,"🔴 LVL4-5",IF(E42&gt;0,"🟠 LVL3",IF(D42&gt;0,"🟡 LVL2",IF(C42&gt;0,"🟢 LVL1","⬜ LVL0"))))</f>
        <v>🟠 LVL3</v>
      </c>
      <c r="H42" s="19" t="n">
        <f aca="false">1539+D42*12.25*(CONFIG!$B$28-1)*CONFIG!$B$61+MIN(E42,ROUND(E42*CONFIG!$B$60,0))*0.7*12.25*CONFIG!$B$29+MIN(E42,ROUND(E42*CONFIG!$B$60,0))*0.3*12.25*CONFIG!$B$30+F42*CONFIG!$B$57*12.25</f>
        <v>3011.94</v>
      </c>
      <c r="I42" s="1" t="s">
        <v>108</v>
      </c>
    </row>
    <row r="43" customFormat="false" ht="15" hidden="false" customHeight="true" outlineLevel="0" collapsed="false">
      <c r="A43" s="1" t="n">
        <v>6</v>
      </c>
      <c r="B43" s="1" t="n">
        <v>8</v>
      </c>
      <c r="C43" s="1" t="n">
        <f aca="false">MIN(B43,3)</f>
        <v>3</v>
      </c>
      <c r="D43" s="1" t="n">
        <f aca="false">MIN(MAX(B43-C43,0),4)</f>
        <v>4</v>
      </c>
      <c r="E43" s="1" t="n">
        <f aca="false">MAX(B43-C43-D43,0)</f>
        <v>1</v>
      </c>
      <c r="F43" s="1" t="n">
        <f aca="false">MAX(E43-ROUND(E43*CONFIG!$B$60,0),0)</f>
        <v>0</v>
      </c>
      <c r="G43" s="1" t="str">
        <f aca="false">IF(F43&gt;0,"🔴 LVL4-5",IF(E43&gt;0,"🟠 LVL3",IF(D43&gt;0,"🟡 LVL2",IF(C43&gt;0,"🟢 LVL1","⬜ LVL0"))))</f>
        <v>🟠 LVL3</v>
      </c>
      <c r="H43" s="19" t="n">
        <f aca="false">1539+D43*12.25*(CONFIG!$B$28-1)*CONFIG!$B$61+MIN(E43,ROUND(E43*CONFIG!$B$60,0))*0.7*12.25*CONFIG!$B$29+MIN(E43,ROUND(E43*CONFIG!$B$60,0))*0.3*12.25*CONFIG!$B$30+F43*CONFIG!$B$57*12.25</f>
        <v>2428.84</v>
      </c>
      <c r="I43" s="1" t="s">
        <v>109</v>
      </c>
    </row>
    <row r="44" customFormat="false" ht="15" hidden="false" customHeight="true" outlineLevel="0" collapsed="false">
      <c r="A44" s="1" t="n">
        <v>7</v>
      </c>
      <c r="B44" s="1" t="n">
        <v>7</v>
      </c>
      <c r="C44" s="1" t="n">
        <f aca="false">MIN(B44,3)</f>
        <v>3</v>
      </c>
      <c r="D44" s="1" t="n">
        <f aca="false">MIN(MAX(B44-C44,0),4)</f>
        <v>4</v>
      </c>
      <c r="E44" s="1" t="n">
        <f aca="false">MAX(B44-C44-D44,0)</f>
        <v>0</v>
      </c>
      <c r="F44" s="1" t="n">
        <f aca="false">MAX(E44-ROUND(E44*CONFIG!$B$60,0),0)</f>
        <v>0</v>
      </c>
      <c r="G44" s="1" t="str">
        <f aca="false">IF(F44&gt;0,"🔴 LVL4-5",IF(E44&gt;0,"🟠 LVL3",IF(D44&gt;0,"🟡 LVL2",IF(C44&gt;0,"🟢 LVL1","⬜ LVL0"))))</f>
        <v>🟡 LVL2</v>
      </c>
      <c r="H44" s="19" t="n">
        <f aca="false">1539+D44*12.25*(CONFIG!$B$28-1)*CONFIG!$B$61+MIN(E44,ROUND(E44*CONFIG!$B$60,0))*0.7*12.25*CONFIG!$B$29+MIN(E44,ROUND(E44*CONFIG!$B$60,0))*0.3*12.25*CONFIG!$B$30+F44*CONFIG!$B$57*12.25</f>
        <v>2137.29</v>
      </c>
      <c r="I44" s="1" t="s">
        <v>110</v>
      </c>
    </row>
    <row r="45" customFormat="false" ht="15" hidden="false" customHeight="true" outlineLevel="0" collapsed="false">
      <c r="A45" s="1" t="n">
        <v>8</v>
      </c>
      <c r="B45" s="1" t="n">
        <v>5</v>
      </c>
      <c r="C45" s="1" t="n">
        <f aca="false">MIN(B45,3)</f>
        <v>3</v>
      </c>
      <c r="D45" s="1" t="n">
        <f aca="false">MIN(MAX(B45-C45,0),4)</f>
        <v>2</v>
      </c>
      <c r="E45" s="1" t="n">
        <f aca="false">MAX(B45-C45-D45,0)</f>
        <v>0</v>
      </c>
      <c r="F45" s="1" t="n">
        <f aca="false">MAX(E45-ROUND(E45*CONFIG!$B$60,0),0)</f>
        <v>0</v>
      </c>
      <c r="G45" s="1" t="str">
        <f aca="false">IF(F45&gt;0,"🔴 LVL4-5",IF(E45&gt;0,"🟠 LVL3",IF(D45&gt;0,"🟡 LVL2",IF(C45&gt;0,"🟢 LVL1","⬜ LVL0"))))</f>
        <v>🟡 LVL2</v>
      </c>
      <c r="H45" s="19" t="n">
        <f aca="false">1539+D45*12.25*(CONFIG!$B$28-1)*CONFIG!$B$61+MIN(E45,ROUND(E45*CONFIG!$B$60,0))*0.7*12.25*CONFIG!$B$29+MIN(E45,ROUND(E45*CONFIG!$B$60,0))*0.3*12.25*CONFIG!$B$30+F45*CONFIG!$B$57*12.25</f>
        <v>1838.145</v>
      </c>
      <c r="I45" s="1" t="s">
        <v>111</v>
      </c>
    </row>
    <row r="46" customFormat="false" ht="15" hidden="false" customHeight="true" outlineLevel="0" collapsed="false">
      <c r="A46" s="1" t="n">
        <v>9</v>
      </c>
      <c r="B46" s="1" t="n">
        <v>4</v>
      </c>
      <c r="C46" s="1" t="n">
        <f aca="false">MIN(B46,3)</f>
        <v>3</v>
      </c>
      <c r="D46" s="1" t="n">
        <f aca="false">MIN(MAX(B46-C46,0),4)</f>
        <v>1</v>
      </c>
      <c r="E46" s="1" t="n">
        <f aca="false">MAX(B46-C46-D46,0)</f>
        <v>0</v>
      </c>
      <c r="F46" s="1" t="n">
        <f aca="false">MAX(E46-ROUND(E46*CONFIG!$B$60,0),0)</f>
        <v>0</v>
      </c>
      <c r="G46" s="1" t="str">
        <f aca="false">IF(F46&gt;0,"🔴 LVL4-5",IF(E46&gt;0,"🟠 LVL3",IF(D46&gt;0,"🟡 LVL2",IF(C46&gt;0,"🟢 LVL1","⬜ LVL0"))))</f>
        <v>🟡 LVL2</v>
      </c>
      <c r="H46" s="19" t="n">
        <f aca="false">1539+D46*12.25*(CONFIG!$B$28-1)*CONFIG!$B$61+MIN(E46,ROUND(E46*CONFIG!$B$60,0))*0.7*12.25*CONFIG!$B$29+MIN(E46,ROUND(E46*CONFIG!$B$60,0))*0.3*12.25*CONFIG!$B$30+F46*CONFIG!$B$57*12.25</f>
        <v>1688.5725</v>
      </c>
      <c r="I46" s="1" t="s">
        <v>112</v>
      </c>
    </row>
    <row r="47" customFormat="false" ht="15" hidden="false" customHeight="true" outlineLevel="0" collapsed="false">
      <c r="A47" s="1" t="n">
        <v>10</v>
      </c>
      <c r="B47" s="1" t="n">
        <v>3</v>
      </c>
      <c r="C47" s="1" t="n">
        <f aca="false">MIN(B47,3)</f>
        <v>3</v>
      </c>
      <c r="D47" s="1" t="n">
        <f aca="false">MIN(MAX(B47-C47,0),4)</f>
        <v>0</v>
      </c>
      <c r="E47" s="1" t="n">
        <f aca="false">MAX(B47-C47-D47,0)</f>
        <v>0</v>
      </c>
      <c r="F47" s="1" t="n">
        <f aca="false">MAX(E47-ROUND(E47*CONFIG!$B$60,0),0)</f>
        <v>0</v>
      </c>
      <c r="G47" s="1" t="str">
        <f aca="false">IF(F47&gt;0,"🔴 LVL4-5",IF(E47&gt;0,"🟠 LVL3",IF(D47&gt;0,"🟡 LVL2",IF(C47&gt;0,"🟢 LVL1","⬜ LVL0"))))</f>
        <v>🟢 LVL1</v>
      </c>
      <c r="H47" s="19" t="n">
        <f aca="false">1539+D47*12.25*(CONFIG!$B$28-1)*CONFIG!$B$61+MIN(E47,ROUND(E47*CONFIG!$B$60,0))*0.7*12.25*CONFIG!$B$29+MIN(E47,ROUND(E47*CONFIG!$B$60,0))*0.3*12.25*CONFIG!$B$30+F47*CONFIG!$B$57*12.25</f>
        <v>1539</v>
      </c>
      <c r="I47" s="1" t="s">
        <v>113</v>
      </c>
    </row>
    <row r="48" customFormat="false" ht="15" hidden="false" customHeight="true" outlineLevel="0" collapsed="false">
      <c r="A48" s="1" t="n">
        <v>11</v>
      </c>
      <c r="B48" s="1" t="n">
        <v>2</v>
      </c>
      <c r="C48" s="1" t="n">
        <f aca="false">MIN(B48,3)</f>
        <v>2</v>
      </c>
      <c r="D48" s="1" t="n">
        <f aca="false">MIN(MAX(B48-C48,0),4)</f>
        <v>0</v>
      </c>
      <c r="E48" s="1" t="n">
        <f aca="false">MAX(B48-C48-D48,0)</f>
        <v>0</v>
      </c>
      <c r="F48" s="1" t="n">
        <f aca="false">MAX(E48-ROUND(E48*CONFIG!$B$60,0),0)</f>
        <v>0</v>
      </c>
      <c r="G48" s="1" t="str">
        <f aca="false">IF(F48&gt;0,"🔴 LVL4-5",IF(E48&gt;0,"🟠 LVL3",IF(D48&gt;0,"🟡 LVL2",IF(C48&gt;0,"🟢 LVL1","⬜ LVL0"))))</f>
        <v>🟢 LVL1</v>
      </c>
      <c r="H48" s="19" t="n">
        <f aca="false">1539+D48*12.25*(CONFIG!$B$28-1)*CONFIG!$B$61+MIN(E48,ROUND(E48*CONFIG!$B$60,0))*0.7*12.25*CONFIG!$B$29+MIN(E48,ROUND(E48*CONFIG!$B$60,0))*0.3*12.25*CONFIG!$B$30+F48*CONFIG!$B$57*12.25</f>
        <v>1539</v>
      </c>
      <c r="I48" s="1" t="s">
        <v>114</v>
      </c>
    </row>
    <row r="49" customFormat="false" ht="15" hidden="false" customHeight="true" outlineLevel="0" collapsed="false">
      <c r="A49" s="1" t="n">
        <v>12</v>
      </c>
      <c r="B49" s="1" t="n">
        <v>1</v>
      </c>
      <c r="C49" s="1" t="n">
        <f aca="false">MIN(B49,3)</f>
        <v>1</v>
      </c>
      <c r="D49" s="1" t="n">
        <f aca="false">MIN(MAX(B49-C49,0),4)</f>
        <v>0</v>
      </c>
      <c r="E49" s="1" t="n">
        <f aca="false">MAX(B49-C49-D49,0)</f>
        <v>0</v>
      </c>
      <c r="F49" s="1" t="n">
        <f aca="false">MAX(E49-ROUND(E49*CONFIG!$B$60,0),0)</f>
        <v>0</v>
      </c>
      <c r="G49" s="1" t="str">
        <f aca="false">IF(F49&gt;0,"🔴 LVL4-5",IF(E49&gt;0,"🟠 LVL3",IF(D49&gt;0,"🟡 LVL2",IF(C49&gt;0,"🟢 LVL1","⬜ LVL0"))))</f>
        <v>🟢 LVL1</v>
      </c>
      <c r="H49" s="19" t="n">
        <f aca="false">1539+D49*12.25*(CONFIG!$B$28-1)*CONFIG!$B$61+MIN(E49,ROUND(E49*CONFIG!$B$60,0))*0.7*12.25*CONFIG!$B$29+MIN(E49,ROUND(E49*CONFIG!$B$60,0))*0.3*12.25*CONFIG!$B$30+F49*CONFIG!$B$57*12.25</f>
        <v>1539</v>
      </c>
      <c r="I49" s="1" t="s">
        <v>115</v>
      </c>
    </row>
    <row r="50" customFormat="false" ht="15" hidden="false" customHeight="true" outlineLevel="0" collapsed="false">
      <c r="A50" s="1" t="n">
        <v>13</v>
      </c>
      <c r="B50" s="1" t="n">
        <v>0</v>
      </c>
      <c r="C50" s="1" t="n">
        <f aca="false">MIN(B50,3)</f>
        <v>0</v>
      </c>
      <c r="D50" s="1" t="n">
        <f aca="false">MIN(MAX(B50-C50,0),4)</f>
        <v>0</v>
      </c>
      <c r="E50" s="1" t="n">
        <f aca="false">MAX(B50-C50-D50,0)</f>
        <v>0</v>
      </c>
      <c r="F50" s="1" t="n">
        <f aca="false">MAX(E50-ROUND(E50*CONFIG!$B$60,0),0)</f>
        <v>0</v>
      </c>
      <c r="G50" s="1" t="str">
        <f aca="false">IF(F50&gt;0,"🔴 LVL4-5",IF(E50&gt;0,"🟠 LVL3",IF(D50&gt;0,"🟡 LVL2",IF(C50&gt;0,"🟢 LVL1","⬜ LVL0"))))</f>
        <v>⬜ LVL0</v>
      </c>
      <c r="H50" s="19" t="n">
        <f aca="false">1539+D50*12.25*(CONFIG!$B$28-1)*CONFIG!$B$61+MIN(E50,ROUND(E50*CONFIG!$B$60,0))*0.7*12.25*CONFIG!$B$29+MIN(E50,ROUND(E50*CONFIG!$B$60,0))*0.3*12.25*CONFIG!$B$30+F50*CONFIG!$B$57*12.25</f>
        <v>1539</v>
      </c>
      <c r="I50" s="1" t="s">
        <v>116</v>
      </c>
    </row>
    <row r="51" customFormat="false" ht="15" hidden="false" customHeight="true" outlineLevel="0" collapsed="false">
      <c r="A51" s="1" t="n">
        <v>14</v>
      </c>
      <c r="B51" s="1" t="n">
        <v>0</v>
      </c>
      <c r="C51" s="1" t="n">
        <f aca="false">MIN(B51,3)</f>
        <v>0</v>
      </c>
      <c r="D51" s="1" t="n">
        <f aca="false">MIN(MAX(B51-C51,0),4)</f>
        <v>0</v>
      </c>
      <c r="E51" s="1" t="n">
        <f aca="false">MAX(B51-C51-D51,0)</f>
        <v>0</v>
      </c>
      <c r="F51" s="1" t="n">
        <f aca="false">MAX(E51-ROUND(E51*CONFIG!$B$60,0),0)</f>
        <v>0</v>
      </c>
      <c r="G51" s="1" t="str">
        <f aca="false">IF(F51&gt;0,"🔴 LVL4-5",IF(E51&gt;0,"🟠 LVL3",IF(D51&gt;0,"🟡 LVL2",IF(C51&gt;0,"🟢 LVL1","⬜ LVL0"))))</f>
        <v>⬜ LVL0</v>
      </c>
      <c r="H51" s="19" t="n">
        <f aca="false">1539+D51*12.25*(CONFIG!$B$28-1)*CONFIG!$B$61+MIN(E51,ROUND(E51*CONFIG!$B$60,0))*0.7*12.25*CONFIG!$B$29+MIN(E51,ROUND(E51*CONFIG!$B$60,0))*0.3*12.25*CONFIG!$B$30+F51*CONFIG!$B$57*12.25</f>
        <v>1539</v>
      </c>
      <c r="I51" s="1" t="s">
        <v>117</v>
      </c>
    </row>
    <row r="52" customFormat="false" ht="15" hidden="false" customHeight="true" outlineLevel="0" collapsed="false">
      <c r="A52" s="8" t="s">
        <v>118</v>
      </c>
      <c r="H52" s="21" t="n">
        <f aca="false">SUM(H38:H51)</f>
        <v>26885.04</v>
      </c>
    </row>
    <row r="53" customFormat="false" ht="15" hidden="false" customHeight="true" outlineLevel="0" collapsed="false">
      <c r="A53" s="1" t="s">
        <v>119</v>
      </c>
      <c r="H53" s="19" t="n">
        <f aca="false">1539*14</f>
        <v>21546</v>
      </c>
    </row>
    <row r="54" customFormat="false" ht="15" hidden="false" customHeight="true" outlineLevel="0" collapsed="false">
      <c r="A54" s="20" t="s">
        <v>120</v>
      </c>
      <c r="H54" s="22" t="n">
        <f aca="false">H52-H53</f>
        <v>5339.04</v>
      </c>
    </row>
    <row r="57" customFormat="false" ht="15.75" hidden="false" customHeight="true" outlineLevel="0" collapsed="false">
      <c r="A57" s="18" t="s">
        <v>121</v>
      </c>
    </row>
    <row r="58" customFormat="false" ht="15" hidden="false" customHeight="true" outlineLevel="0" collapsed="false">
      <c r="A58" s="1" t="s">
        <v>122</v>
      </c>
      <c r="B58" s="19" t="n">
        <f aca="false">17*12.25*28</f>
        <v>5831</v>
      </c>
    </row>
    <row r="59" customFormat="false" ht="15" hidden="false" customHeight="true" outlineLevel="0" collapsed="false">
      <c r="A59" s="1" t="s">
        <v>123</v>
      </c>
      <c r="B59" s="19" t="n">
        <v>2000</v>
      </c>
    </row>
    <row r="60" customFormat="false" ht="15" hidden="false" customHeight="true" outlineLevel="0" collapsed="false">
      <c r="A60" s="1" t="s">
        <v>124</v>
      </c>
      <c r="B60" s="19" t="n">
        <v>500</v>
      </c>
    </row>
    <row r="61" customFormat="false" ht="15" hidden="false" customHeight="true" outlineLevel="0" collapsed="false">
      <c r="A61" s="1" t="s">
        <v>125</v>
      </c>
      <c r="B61" s="19" t="n">
        <v>750</v>
      </c>
    </row>
    <row r="62" customFormat="false" ht="15" hidden="false" customHeight="true" outlineLevel="0" collapsed="false">
      <c r="A62" s="1" t="s">
        <v>126</v>
      </c>
      <c r="B62" s="19" t="n">
        <f aca="false">8*12*12.25*3</f>
        <v>3528</v>
      </c>
    </row>
    <row r="63" customFormat="false" ht="15" hidden="false" customHeight="true" outlineLevel="0" collapsed="false">
      <c r="A63" s="1" t="s">
        <v>127</v>
      </c>
      <c r="B63" s="19" t="n">
        <f aca="false">H54</f>
        <v>5339.04</v>
      </c>
    </row>
    <row r="64" customFormat="false" ht="15" hidden="false" customHeight="true" outlineLevel="0" collapsed="false">
      <c r="A64" s="20" t="s">
        <v>128</v>
      </c>
      <c r="B64" s="22" t="n">
        <f aca="false">SUM(B58:B63)</f>
        <v>17948.04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4" t="s">
        <v>129</v>
      </c>
      <c r="B1" s="4"/>
      <c r="C1" s="4"/>
      <c r="D1" s="4"/>
    </row>
    <row r="2" customFormat="false" ht="15" hidden="false" customHeight="true" outlineLevel="0" collapsed="false">
      <c r="A2" s="8" t="s">
        <v>130</v>
      </c>
      <c r="B2" s="8"/>
      <c r="C2" s="8"/>
      <c r="D2" s="8"/>
    </row>
    <row r="4" customFormat="false" ht="15" hidden="false" customHeight="true" outlineLevel="0" collapsed="false">
      <c r="A4" s="23" t="s">
        <v>131</v>
      </c>
      <c r="B4" s="23" t="s">
        <v>132</v>
      </c>
      <c r="C4" s="23" t="s">
        <v>133</v>
      </c>
      <c r="D4" s="23" t="s">
        <v>134</v>
      </c>
    </row>
    <row r="5" customFormat="false" ht="15" hidden="false" customHeight="true" outlineLevel="0" collapsed="false">
      <c r="A5" s="1" t="s">
        <v>135</v>
      </c>
      <c r="B5" s="24" t="s">
        <v>136</v>
      </c>
      <c r="D5" s="1" t="s">
        <v>137</v>
      </c>
    </row>
    <row r="6" customFormat="false" ht="15" hidden="false" customHeight="true" outlineLevel="0" collapsed="false">
      <c r="A6" s="1" t="s">
        <v>138</v>
      </c>
      <c r="B6" s="24" t="n">
        <v>14</v>
      </c>
      <c r="C6" s="1" t="s">
        <v>139</v>
      </c>
      <c r="D6" s="1" t="s">
        <v>140</v>
      </c>
    </row>
    <row r="8" customFormat="false" ht="15" hidden="false" customHeight="true" outlineLevel="0" collapsed="false">
      <c r="A8" s="23" t="s">
        <v>141</v>
      </c>
      <c r="B8" s="23"/>
      <c r="C8" s="23"/>
      <c r="D8" s="23"/>
    </row>
    <row r="9" customFormat="false" ht="15" hidden="false" customHeight="true" outlineLevel="0" collapsed="false">
      <c r="A9" s="1" t="s">
        <v>142</v>
      </c>
      <c r="B9" s="24" t="n">
        <v>6</v>
      </c>
      <c r="C9" s="1" t="s">
        <v>143</v>
      </c>
      <c r="D9" s="1" t="s">
        <v>144</v>
      </c>
    </row>
    <row r="10" customFormat="false" ht="15" hidden="false" customHeight="true" outlineLevel="0" collapsed="false">
      <c r="A10" s="1" t="s">
        <v>145</v>
      </c>
      <c r="B10" s="24" t="n">
        <v>6</v>
      </c>
      <c r="C10" s="1" t="s">
        <v>143</v>
      </c>
      <c r="D10" s="1" t="s">
        <v>146</v>
      </c>
    </row>
    <row r="11" customFormat="false" ht="15" hidden="false" customHeight="true" outlineLevel="0" collapsed="false">
      <c r="A11" s="1" t="s">
        <v>147</v>
      </c>
      <c r="B11" s="24" t="n">
        <v>12.25</v>
      </c>
      <c r="C11" s="1" t="s">
        <v>143</v>
      </c>
      <c r="D11" s="1" t="s">
        <v>148</v>
      </c>
    </row>
    <row r="12" customFormat="false" ht="15" hidden="false" customHeight="true" outlineLevel="0" collapsed="false">
      <c r="A12" s="1" t="s">
        <v>149</v>
      </c>
      <c r="B12" s="24" t="n">
        <v>12.25</v>
      </c>
      <c r="C12" s="1" t="s">
        <v>143</v>
      </c>
      <c r="D12" s="1" t="s">
        <v>150</v>
      </c>
    </row>
    <row r="14" customFormat="false" ht="15" hidden="false" customHeight="true" outlineLevel="0" collapsed="false">
      <c r="A14" s="23" t="s">
        <v>151</v>
      </c>
      <c r="B14" s="23"/>
      <c r="C14" s="23"/>
      <c r="D14" s="23"/>
    </row>
    <row r="15" customFormat="false" ht="15" hidden="false" customHeight="true" outlineLevel="0" collapsed="false">
      <c r="A15" s="1" t="s">
        <v>152</v>
      </c>
      <c r="B15" s="24" t="n">
        <v>15</v>
      </c>
      <c r="C15" s="1" t="s">
        <v>153</v>
      </c>
      <c r="D15" s="1" t="s">
        <v>154</v>
      </c>
    </row>
    <row r="16" customFormat="false" ht="15" hidden="false" customHeight="true" outlineLevel="0" collapsed="false">
      <c r="A16" s="1" t="s">
        <v>155</v>
      </c>
      <c r="B16" s="24" t="n">
        <v>15</v>
      </c>
      <c r="C16" s="1" t="s">
        <v>153</v>
      </c>
      <c r="D16" s="1" t="s">
        <v>156</v>
      </c>
    </row>
    <row r="17" customFormat="false" ht="15" hidden="false" customHeight="true" outlineLevel="0" collapsed="false">
      <c r="A17" s="1" t="s">
        <v>157</v>
      </c>
      <c r="B17" s="24" t="n">
        <v>0</v>
      </c>
      <c r="C17" s="1" t="s">
        <v>143</v>
      </c>
      <c r="D17" s="1" t="s">
        <v>158</v>
      </c>
    </row>
    <row r="19" customFormat="false" ht="15" hidden="false" customHeight="true" outlineLevel="0" collapsed="false">
      <c r="A19" s="23" t="s">
        <v>159</v>
      </c>
      <c r="B19" s="23"/>
      <c r="C19" s="23"/>
      <c r="D19" s="23"/>
    </row>
    <row r="20" customFormat="false" ht="15" hidden="false" customHeight="true" outlineLevel="0" collapsed="false">
      <c r="A20" s="1" t="s">
        <v>160</v>
      </c>
      <c r="B20" s="24" t="n">
        <v>3</v>
      </c>
      <c r="C20" s="1" t="s">
        <v>161</v>
      </c>
      <c r="D20" s="1" t="s">
        <v>162</v>
      </c>
    </row>
    <row r="21" customFormat="false" ht="15" hidden="false" customHeight="true" outlineLevel="0" collapsed="false">
      <c r="A21" s="1" t="s">
        <v>163</v>
      </c>
      <c r="B21" s="24" t="n">
        <v>2</v>
      </c>
      <c r="C21" s="1" t="s">
        <v>164</v>
      </c>
      <c r="D21" s="1" t="s">
        <v>165</v>
      </c>
    </row>
    <row r="22" customFormat="false" ht="15" hidden="false" customHeight="true" outlineLevel="0" collapsed="false">
      <c r="A22" s="1" t="s">
        <v>166</v>
      </c>
      <c r="B22" s="24" t="n">
        <v>3</v>
      </c>
      <c r="C22" s="1" t="s">
        <v>161</v>
      </c>
      <c r="D22" s="1" t="s">
        <v>167</v>
      </c>
    </row>
    <row r="23" customFormat="false" ht="15" hidden="false" customHeight="true" outlineLevel="0" collapsed="false">
      <c r="A23" s="1" t="s">
        <v>168</v>
      </c>
      <c r="B23" s="24" t="n">
        <v>2</v>
      </c>
      <c r="C23" s="1" t="s">
        <v>164</v>
      </c>
      <c r="D23" s="1" t="s">
        <v>165</v>
      </c>
    </row>
    <row r="24" customFormat="false" ht="15" hidden="false" customHeight="true" outlineLevel="0" collapsed="false">
      <c r="A24" s="1" t="s">
        <v>169</v>
      </c>
      <c r="B24" s="24" t="n">
        <v>3</v>
      </c>
      <c r="C24" s="1" t="s">
        <v>161</v>
      </c>
      <c r="D24" s="1" t="s">
        <v>170</v>
      </c>
    </row>
    <row r="25" customFormat="false" ht="15" hidden="false" customHeight="true" outlineLevel="0" collapsed="false">
      <c r="A25" s="1" t="s">
        <v>171</v>
      </c>
      <c r="B25" s="24" t="n">
        <v>1.5</v>
      </c>
      <c r="C25" s="1" t="s">
        <v>164</v>
      </c>
      <c r="D25" s="1" t="s">
        <v>172</v>
      </c>
    </row>
    <row r="27" customFormat="false" ht="15" hidden="false" customHeight="true" outlineLevel="0" collapsed="false">
      <c r="A27" s="23" t="s">
        <v>173</v>
      </c>
      <c r="B27" s="23"/>
      <c r="C27" s="23"/>
      <c r="D27" s="23"/>
    </row>
    <row r="28" customFormat="false" ht="15" hidden="false" customHeight="true" outlineLevel="0" collapsed="false">
      <c r="A28" s="1" t="s">
        <v>174</v>
      </c>
      <c r="B28" s="24" t="n">
        <v>2</v>
      </c>
      <c r="C28" s="1" t="s">
        <v>175</v>
      </c>
      <c r="D28" s="1" t="s">
        <v>176</v>
      </c>
    </row>
    <row r="29" customFormat="false" ht="15" hidden="false" customHeight="true" outlineLevel="0" collapsed="false">
      <c r="A29" s="1" t="s">
        <v>177</v>
      </c>
      <c r="B29" s="24" t="n">
        <v>22</v>
      </c>
      <c r="C29" s="1" t="s">
        <v>175</v>
      </c>
      <c r="D29" s="1" t="s">
        <v>178</v>
      </c>
    </row>
    <row r="30" customFormat="false" ht="15" hidden="false" customHeight="true" outlineLevel="0" collapsed="false">
      <c r="A30" s="1" t="s">
        <v>179</v>
      </c>
      <c r="B30" s="24" t="n">
        <v>28</v>
      </c>
      <c r="C30" s="1" t="s">
        <v>175</v>
      </c>
      <c r="D30" s="1" t="s">
        <v>180</v>
      </c>
    </row>
    <row r="32" customFormat="false" ht="15" hidden="false" customHeight="true" outlineLevel="0" collapsed="false">
      <c r="A32" s="23" t="s">
        <v>181</v>
      </c>
      <c r="B32" s="23"/>
      <c r="C32" s="23"/>
      <c r="D32" s="23"/>
    </row>
    <row r="33" customFormat="false" ht="15" hidden="false" customHeight="true" outlineLevel="0" collapsed="false">
      <c r="A33" s="1" t="s">
        <v>182</v>
      </c>
      <c r="B33" s="24" t="n">
        <v>5</v>
      </c>
      <c r="C33" s="1" t="s">
        <v>139</v>
      </c>
      <c r="D33" s="1" t="s">
        <v>183</v>
      </c>
    </row>
    <row r="34" customFormat="false" ht="15" hidden="false" customHeight="true" outlineLevel="0" collapsed="false">
      <c r="A34" s="1" t="s">
        <v>184</v>
      </c>
      <c r="B34" s="24" t="n">
        <v>2</v>
      </c>
      <c r="C34" s="1" t="s">
        <v>161</v>
      </c>
      <c r="D34" s="1" t="s">
        <v>185</v>
      </c>
    </row>
    <row r="35" customFormat="false" ht="15" hidden="false" customHeight="true" outlineLevel="0" collapsed="false">
      <c r="A35" s="1" t="s">
        <v>186</v>
      </c>
      <c r="B35" s="24" t="n">
        <v>50</v>
      </c>
      <c r="C35" s="1" t="s">
        <v>187</v>
      </c>
      <c r="D35" s="1" t="s">
        <v>188</v>
      </c>
    </row>
    <row r="37" customFormat="false" ht="15" hidden="false" customHeight="true" outlineLevel="0" collapsed="false">
      <c r="A37" s="23" t="s">
        <v>189</v>
      </c>
      <c r="B37" s="23"/>
      <c r="C37" s="23"/>
      <c r="D37" s="23"/>
    </row>
    <row r="38" customFormat="false" ht="15" hidden="false" customHeight="true" outlineLevel="0" collapsed="false">
      <c r="A38" s="1" t="s">
        <v>190</v>
      </c>
      <c r="B38" s="24" t="n">
        <v>28</v>
      </c>
      <c r="C38" s="1" t="s">
        <v>191</v>
      </c>
      <c r="D38" s="1" t="s">
        <v>192</v>
      </c>
    </row>
    <row r="40" customFormat="false" ht="15" hidden="false" customHeight="true" outlineLevel="0" collapsed="false">
      <c r="A40" s="23" t="s">
        <v>193</v>
      </c>
      <c r="B40" s="23"/>
      <c r="C40" s="23"/>
      <c r="D40" s="23"/>
    </row>
    <row r="41" customFormat="false" ht="15" hidden="false" customHeight="true" outlineLevel="0" collapsed="false">
      <c r="A41" s="1" t="s">
        <v>194</v>
      </c>
      <c r="B41" s="24" t="n">
        <v>42.875</v>
      </c>
      <c r="C41" s="1" t="s">
        <v>195</v>
      </c>
      <c r="D41" s="1" t="s">
        <v>196</v>
      </c>
    </row>
    <row r="42" customFormat="false" ht="15" hidden="false" customHeight="true" outlineLevel="0" collapsed="false">
      <c r="A42" s="1" t="s">
        <v>197</v>
      </c>
      <c r="B42" s="24" t="n">
        <v>36</v>
      </c>
      <c r="C42" s="1" t="s">
        <v>195</v>
      </c>
      <c r="D42" s="1" t="s">
        <v>198</v>
      </c>
    </row>
    <row r="43" customFormat="false" ht="15" hidden="false" customHeight="true" outlineLevel="0" collapsed="false">
      <c r="A43" s="1" t="s">
        <v>199</v>
      </c>
      <c r="B43" s="24" t="n">
        <v>42.875</v>
      </c>
      <c r="C43" s="1" t="s">
        <v>195</v>
      </c>
      <c r="D43" s="1" t="s">
        <v>196</v>
      </c>
    </row>
    <row r="45" customFormat="false" ht="15" hidden="false" customHeight="true" outlineLevel="0" collapsed="false">
      <c r="A45" s="25" t="s">
        <v>200</v>
      </c>
    </row>
    <row r="46" customFormat="false" ht="15" hidden="false" customHeight="true" outlineLevel="0" collapsed="false">
      <c r="A46" s="1" t="s">
        <v>201</v>
      </c>
      <c r="B46" s="26" t="n">
        <v>1.5</v>
      </c>
      <c r="C46" s="1" t="s">
        <v>202</v>
      </c>
      <c r="D46" s="1" t="s">
        <v>203</v>
      </c>
    </row>
    <row r="48" customFormat="false" ht="15" hidden="false" customHeight="true" outlineLevel="0" collapsed="false">
      <c r="A48" s="25" t="s">
        <v>204</v>
      </c>
    </row>
    <row r="49" customFormat="false" ht="15" hidden="false" customHeight="true" outlineLevel="0" collapsed="false">
      <c r="A49" s="1" t="s">
        <v>205</v>
      </c>
      <c r="B49" s="27" t="n">
        <v>0.06</v>
      </c>
      <c r="C49" s="1" t="s">
        <v>206</v>
      </c>
      <c r="D49" s="1" t="s">
        <v>207</v>
      </c>
    </row>
    <row r="50" customFormat="false" ht="15" hidden="false" customHeight="true" outlineLevel="0" collapsed="false">
      <c r="A50" s="1" t="s">
        <v>208</v>
      </c>
      <c r="B50" s="26" t="n">
        <v>1</v>
      </c>
      <c r="C50" s="1" t="s">
        <v>161</v>
      </c>
      <c r="D50" s="1" t="s">
        <v>209</v>
      </c>
    </row>
    <row r="51" customFormat="false" ht="15" hidden="false" customHeight="true" outlineLevel="0" collapsed="false">
      <c r="A51" s="1" t="s">
        <v>210</v>
      </c>
    </row>
    <row r="52" customFormat="false" ht="15" hidden="false" customHeight="true" outlineLevel="0" collapsed="false">
      <c r="A52" s="1" t="s">
        <v>211</v>
      </c>
      <c r="B52" s="11" t="n">
        <v>0.3</v>
      </c>
      <c r="C52" s="1" t="s">
        <v>212</v>
      </c>
    </row>
    <row r="54" customFormat="false" ht="15" hidden="false" customHeight="true" outlineLevel="0" collapsed="false">
      <c r="A54" s="10" t="s">
        <v>213</v>
      </c>
    </row>
    <row r="55" customFormat="false" ht="15" hidden="false" customHeight="true" outlineLevel="0" collapsed="false">
      <c r="A55" s="1" t="s">
        <v>214</v>
      </c>
      <c r="B55" s="11" t="s">
        <v>215</v>
      </c>
    </row>
    <row r="56" customFormat="false" ht="15" hidden="false" customHeight="true" outlineLevel="0" collapsed="false">
      <c r="A56" s="1" t="s">
        <v>216</v>
      </c>
      <c r="B56" s="11" t="n">
        <v>1.5</v>
      </c>
    </row>
    <row r="57" customFormat="false" ht="15" hidden="false" customHeight="true" outlineLevel="0" collapsed="false">
      <c r="A57" s="1" t="s">
        <v>217</v>
      </c>
      <c r="B57" s="11" t="n">
        <v>18</v>
      </c>
    </row>
    <row r="58" customFormat="false" ht="15" hidden="false" customHeight="true" outlineLevel="0" collapsed="false">
      <c r="A58" s="1" t="s">
        <v>218</v>
      </c>
      <c r="B58" s="11" t="n">
        <v>1.8</v>
      </c>
    </row>
    <row r="59" customFormat="false" ht="15" hidden="false" customHeight="true" outlineLevel="0" collapsed="false">
      <c r="A59" s="1" t="s">
        <v>219</v>
      </c>
      <c r="B59" s="11" t="n">
        <v>8</v>
      </c>
    </row>
    <row r="60" customFormat="false" ht="15" hidden="false" customHeight="true" outlineLevel="0" collapsed="false">
      <c r="A60" s="1" t="s">
        <v>220</v>
      </c>
      <c r="B60" s="11" t="n">
        <v>1</v>
      </c>
    </row>
    <row r="61" customFormat="false" ht="15" hidden="false" customHeight="true" outlineLevel="0" collapsed="false">
      <c r="A61" s="1" t="s">
        <v>221</v>
      </c>
      <c r="B61" s="11" t="n">
        <v>12.21</v>
      </c>
    </row>
    <row r="62" customFormat="false" ht="15" hidden="false" customHeight="true" outlineLevel="0" collapsed="false">
      <c r="A62" s="1" t="s">
        <v>222</v>
      </c>
      <c r="B62" s="11" t="n">
        <v>1.5</v>
      </c>
    </row>
    <row r="63" customFormat="false" ht="15" hidden="false" customHeight="true" outlineLevel="0" collapsed="false">
      <c r="A63" s="1" t="s">
        <v>223</v>
      </c>
      <c r="B63" s="11" t="n">
        <v>2.5</v>
      </c>
    </row>
    <row r="64" customFormat="false" ht="15" hidden="false" customHeight="true" outlineLevel="0" collapsed="false">
      <c r="A64" s="1" t="s">
        <v>224</v>
      </c>
      <c r="B64" s="11" t="n">
        <v>0.5</v>
      </c>
    </row>
    <row r="65" customFormat="false" ht="15" hidden="false" customHeight="true" outlineLevel="0" collapsed="false">
      <c r="A65" s="1" t="s">
        <v>225</v>
      </c>
      <c r="B65" s="1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10" min="4" style="1" width="12"/>
  </cols>
  <sheetData>
    <row r="1" customFormat="false" ht="17.25" hidden="false" customHeight="true" outlineLevel="0" collapsed="false">
      <c r="A1" s="4" t="s">
        <v>226</v>
      </c>
    </row>
    <row r="2" customFormat="false" ht="15" hidden="false" customHeight="true" outlineLevel="0" collapsed="false">
      <c r="A2" s="28" t="s">
        <v>227</v>
      </c>
    </row>
    <row r="4" customFormat="false" ht="15" hidden="false" customHeight="true" outlineLevel="0" collapsed="false">
      <c r="A4" s="29" t="s">
        <v>228</v>
      </c>
      <c r="B4" s="29" t="s">
        <v>43</v>
      </c>
      <c r="C4" s="29" t="s">
        <v>229</v>
      </c>
      <c r="D4" s="29" t="s">
        <v>7</v>
      </c>
      <c r="E4" s="29" t="s">
        <v>230</v>
      </c>
      <c r="F4" s="29" t="s">
        <v>8</v>
      </c>
      <c r="G4" s="29" t="s">
        <v>231</v>
      </c>
      <c r="H4" s="29" t="s">
        <v>232</v>
      </c>
      <c r="I4" s="29" t="s">
        <v>233</v>
      </c>
      <c r="J4" s="29" t="s">
        <v>234</v>
      </c>
      <c r="K4" s="7" t="s">
        <v>235</v>
      </c>
    </row>
    <row r="5" customFormat="false" ht="15" hidden="false" customHeight="true" outlineLevel="0" collapsed="false">
      <c r="A5" s="30" t="s">
        <v>236</v>
      </c>
      <c r="B5" s="31" t="s">
        <v>237</v>
      </c>
      <c r="C5" s="31" t="s">
        <v>238</v>
      </c>
      <c r="D5" s="31" t="s">
        <v>239</v>
      </c>
      <c r="E5" s="31" t="s">
        <v>240</v>
      </c>
      <c r="F5" s="31" t="n">
        <v>1</v>
      </c>
      <c r="G5" s="31" t="n">
        <v>12.5</v>
      </c>
      <c r="H5" s="31" t="s">
        <v>215</v>
      </c>
      <c r="I5" s="30" t="s">
        <v>136</v>
      </c>
      <c r="J5" s="30"/>
      <c r="K5" s="11" t="s">
        <v>215</v>
      </c>
    </row>
    <row r="6" customFormat="false" ht="15" hidden="false" customHeight="true" outlineLevel="0" collapsed="false">
      <c r="A6" s="30" t="s">
        <v>241</v>
      </c>
      <c r="B6" s="31" t="s">
        <v>242</v>
      </c>
      <c r="C6" s="31" t="s">
        <v>243</v>
      </c>
      <c r="D6" s="31" t="s">
        <v>239</v>
      </c>
      <c r="E6" s="31" t="s">
        <v>240</v>
      </c>
      <c r="F6" s="31" t="n">
        <v>0.5</v>
      </c>
      <c r="G6" s="31" t="n">
        <v>11</v>
      </c>
      <c r="H6" s="31" t="s">
        <v>215</v>
      </c>
      <c r="I6" s="30" t="s">
        <v>136</v>
      </c>
      <c r="J6" s="30"/>
      <c r="K6" s="11" t="s">
        <v>215</v>
      </c>
    </row>
    <row r="7" customFormat="false" ht="15" hidden="false" customHeight="true" outlineLevel="0" collapsed="false">
      <c r="A7" s="30" t="s">
        <v>244</v>
      </c>
      <c r="B7" s="31" t="s">
        <v>245</v>
      </c>
      <c r="C7" s="31" t="s">
        <v>238</v>
      </c>
      <c r="D7" s="31" t="s">
        <v>239</v>
      </c>
      <c r="E7" s="31" t="s">
        <v>240</v>
      </c>
      <c r="F7" s="31" t="n">
        <v>1</v>
      </c>
      <c r="G7" s="31" t="n">
        <v>12.5</v>
      </c>
      <c r="H7" s="31" t="s">
        <v>215</v>
      </c>
      <c r="I7" s="30" t="s">
        <v>136</v>
      </c>
      <c r="J7" s="30"/>
      <c r="K7" s="11" t="s">
        <v>215</v>
      </c>
    </row>
    <row r="8" customFormat="false" ht="15" hidden="false" customHeight="true" outlineLevel="0" collapsed="false">
      <c r="A8" s="30" t="s">
        <v>246</v>
      </c>
      <c r="B8" s="31" t="s">
        <v>247</v>
      </c>
      <c r="C8" s="31" t="s">
        <v>243</v>
      </c>
      <c r="D8" s="31" t="s">
        <v>239</v>
      </c>
      <c r="E8" s="31" t="s">
        <v>240</v>
      </c>
      <c r="F8" s="31" t="n">
        <v>0.5</v>
      </c>
      <c r="G8" s="31" t="n">
        <v>11</v>
      </c>
      <c r="H8" s="31" t="s">
        <v>215</v>
      </c>
      <c r="I8" s="30" t="s">
        <v>136</v>
      </c>
      <c r="J8" s="30"/>
      <c r="K8" s="11" t="s">
        <v>215</v>
      </c>
    </row>
    <row r="9" customFormat="false" ht="15" hidden="false" customHeight="true" outlineLevel="0" collapsed="false">
      <c r="A9" s="30" t="s">
        <v>248</v>
      </c>
      <c r="B9" s="31" t="s">
        <v>249</v>
      </c>
      <c r="C9" s="31" t="s">
        <v>250</v>
      </c>
      <c r="D9" s="31" t="s">
        <v>239</v>
      </c>
      <c r="E9" s="31" t="s">
        <v>240</v>
      </c>
      <c r="F9" s="31" t="n">
        <v>1.5</v>
      </c>
      <c r="G9" s="31" t="n">
        <v>14</v>
      </c>
      <c r="H9" s="31" t="s">
        <v>215</v>
      </c>
      <c r="I9" s="30" t="s">
        <v>136</v>
      </c>
      <c r="J9" s="30"/>
      <c r="K9" s="11" t="s">
        <v>215</v>
      </c>
    </row>
    <row r="10" customFormat="false" ht="15" hidden="false" customHeight="true" outlineLevel="0" collapsed="false">
      <c r="A10" s="30" t="s">
        <v>251</v>
      </c>
      <c r="B10" s="31" t="s">
        <v>252</v>
      </c>
      <c r="C10" s="31" t="s">
        <v>243</v>
      </c>
      <c r="D10" s="31" t="s">
        <v>239</v>
      </c>
      <c r="E10" s="31" t="s">
        <v>240</v>
      </c>
      <c r="F10" s="31" t="n">
        <v>0.5</v>
      </c>
      <c r="G10" s="31" t="n">
        <v>11</v>
      </c>
      <c r="H10" s="31" t="s">
        <v>215</v>
      </c>
      <c r="I10" s="30" t="s">
        <v>136</v>
      </c>
      <c r="J10" s="30"/>
      <c r="K10" s="11" t="s">
        <v>215</v>
      </c>
    </row>
    <row r="11" customFormat="false" ht="15" hidden="false" customHeight="true" outlineLevel="0" collapsed="false">
      <c r="A11" s="30" t="s">
        <v>253</v>
      </c>
      <c r="B11" s="31" t="s">
        <v>254</v>
      </c>
      <c r="C11" s="31" t="s">
        <v>238</v>
      </c>
      <c r="D11" s="31" t="s">
        <v>239</v>
      </c>
      <c r="E11" s="31" t="s">
        <v>240</v>
      </c>
      <c r="F11" s="31" t="n">
        <v>1</v>
      </c>
      <c r="G11" s="31" t="n">
        <v>12.5</v>
      </c>
      <c r="H11" s="31" t="s">
        <v>215</v>
      </c>
      <c r="I11" s="30" t="s">
        <v>136</v>
      </c>
      <c r="J11" s="30"/>
      <c r="K11" s="11" t="s">
        <v>215</v>
      </c>
    </row>
    <row r="12" customFormat="false" ht="15" hidden="false" customHeight="true" outlineLevel="0" collapsed="false">
      <c r="A12" s="30" t="s">
        <v>255</v>
      </c>
      <c r="B12" s="31" t="s">
        <v>256</v>
      </c>
      <c r="C12" s="31" t="s">
        <v>238</v>
      </c>
      <c r="D12" s="31" t="s">
        <v>257</v>
      </c>
      <c r="E12" s="31" t="s">
        <v>240</v>
      </c>
      <c r="F12" s="31" t="n">
        <v>1</v>
      </c>
      <c r="G12" s="31" t="n">
        <v>12.5</v>
      </c>
      <c r="H12" s="31" t="s">
        <v>215</v>
      </c>
      <c r="I12" s="30" t="s">
        <v>136</v>
      </c>
      <c r="J12" s="30"/>
      <c r="K12" s="11" t="s">
        <v>215</v>
      </c>
    </row>
    <row r="13" customFormat="false" ht="15" hidden="false" customHeight="true" outlineLevel="0" collapsed="false">
      <c r="A13" s="30" t="s">
        <v>258</v>
      </c>
      <c r="B13" s="31" t="s">
        <v>259</v>
      </c>
      <c r="C13" s="31" t="s">
        <v>243</v>
      </c>
      <c r="D13" s="31" t="s">
        <v>257</v>
      </c>
      <c r="E13" s="31" t="s">
        <v>240</v>
      </c>
      <c r="F13" s="31" t="n">
        <v>0.5</v>
      </c>
      <c r="G13" s="31" t="n">
        <v>11</v>
      </c>
      <c r="H13" s="31" t="s">
        <v>215</v>
      </c>
      <c r="I13" s="30" t="s">
        <v>136</v>
      </c>
      <c r="J13" s="30"/>
      <c r="K13" s="11" t="s">
        <v>215</v>
      </c>
    </row>
    <row r="14" customFormat="false" ht="15" hidden="false" customHeight="true" outlineLevel="0" collapsed="false">
      <c r="A14" s="30" t="s">
        <v>260</v>
      </c>
      <c r="B14" s="31" t="s">
        <v>261</v>
      </c>
      <c r="C14" s="31" t="s">
        <v>238</v>
      </c>
      <c r="D14" s="31" t="s">
        <v>257</v>
      </c>
      <c r="E14" s="31" t="s">
        <v>240</v>
      </c>
      <c r="F14" s="31" t="n">
        <v>1</v>
      </c>
      <c r="G14" s="31" t="n">
        <v>12.5</v>
      </c>
      <c r="H14" s="31" t="s">
        <v>215</v>
      </c>
      <c r="I14" s="30" t="s">
        <v>136</v>
      </c>
      <c r="J14" s="30"/>
      <c r="K14" s="11" t="s">
        <v>215</v>
      </c>
    </row>
    <row r="15" customFormat="false" ht="15" hidden="false" customHeight="true" outlineLevel="0" collapsed="false">
      <c r="A15" s="30" t="s">
        <v>262</v>
      </c>
      <c r="B15" s="31" t="s">
        <v>263</v>
      </c>
      <c r="C15" s="31" t="s">
        <v>243</v>
      </c>
      <c r="D15" s="31" t="s">
        <v>257</v>
      </c>
      <c r="E15" s="31" t="s">
        <v>240</v>
      </c>
      <c r="F15" s="31" t="n">
        <v>0.5</v>
      </c>
      <c r="G15" s="31" t="n">
        <v>11</v>
      </c>
      <c r="H15" s="31" t="s">
        <v>215</v>
      </c>
      <c r="I15" s="30" t="s">
        <v>136</v>
      </c>
      <c r="J15" s="30"/>
      <c r="K15" s="11" t="s">
        <v>215</v>
      </c>
    </row>
    <row r="16" customFormat="false" ht="15" hidden="false" customHeight="true" outlineLevel="0" collapsed="false">
      <c r="A16" s="30" t="s">
        <v>264</v>
      </c>
      <c r="B16" s="31" t="s">
        <v>265</v>
      </c>
      <c r="C16" s="31" t="s">
        <v>250</v>
      </c>
      <c r="D16" s="31" t="s">
        <v>257</v>
      </c>
      <c r="E16" s="31" t="s">
        <v>240</v>
      </c>
      <c r="F16" s="31" t="n">
        <v>1.5</v>
      </c>
      <c r="G16" s="31" t="n">
        <v>14</v>
      </c>
      <c r="H16" s="31" t="s">
        <v>215</v>
      </c>
      <c r="I16" s="30" t="s">
        <v>136</v>
      </c>
      <c r="J16" s="30"/>
      <c r="K16" s="11" t="s">
        <v>215</v>
      </c>
    </row>
    <row r="17" customFormat="false" ht="15" hidden="false" customHeight="true" outlineLevel="0" collapsed="false">
      <c r="A17" s="30" t="s">
        <v>266</v>
      </c>
      <c r="B17" s="31" t="s">
        <v>267</v>
      </c>
      <c r="C17" s="31" t="s">
        <v>243</v>
      </c>
      <c r="D17" s="31" t="s">
        <v>257</v>
      </c>
      <c r="E17" s="31" t="s">
        <v>240</v>
      </c>
      <c r="F17" s="31" t="n">
        <v>0.5</v>
      </c>
      <c r="G17" s="31" t="n">
        <v>11</v>
      </c>
      <c r="H17" s="31" t="s">
        <v>215</v>
      </c>
      <c r="I17" s="30" t="s">
        <v>136</v>
      </c>
      <c r="J17" s="30"/>
      <c r="K17" s="11" t="s">
        <v>215</v>
      </c>
    </row>
    <row r="18" customFormat="false" ht="15" hidden="false" customHeight="true" outlineLevel="0" collapsed="false">
      <c r="A18" s="30" t="s">
        <v>268</v>
      </c>
      <c r="B18" s="31" t="s">
        <v>269</v>
      </c>
      <c r="C18" s="31" t="s">
        <v>238</v>
      </c>
      <c r="D18" s="31" t="s">
        <v>257</v>
      </c>
      <c r="E18" s="31" t="s">
        <v>240</v>
      </c>
      <c r="F18" s="31" t="n">
        <v>1</v>
      </c>
      <c r="G18" s="31" t="n">
        <v>12.5</v>
      </c>
      <c r="H18" s="31" t="s">
        <v>215</v>
      </c>
      <c r="I18" s="30" t="s">
        <v>136</v>
      </c>
      <c r="J18" s="30"/>
      <c r="K18" s="11" t="s">
        <v>215</v>
      </c>
    </row>
    <row r="19" customFormat="false" ht="15" hidden="false" customHeight="true" outlineLevel="0" collapsed="false">
      <c r="A19" s="30" t="s">
        <v>270</v>
      </c>
      <c r="B19" s="31" t="s">
        <v>271</v>
      </c>
      <c r="C19" s="31" t="s">
        <v>272</v>
      </c>
      <c r="D19" s="31" t="s">
        <v>273</v>
      </c>
      <c r="E19" s="31" t="s">
        <v>274</v>
      </c>
      <c r="F19" s="31" t="n">
        <v>1</v>
      </c>
      <c r="G19" s="31" t="n">
        <v>13</v>
      </c>
      <c r="H19" s="31" t="s">
        <v>215</v>
      </c>
      <c r="I19" s="30" t="s">
        <v>136</v>
      </c>
      <c r="J19" s="30"/>
      <c r="K19" s="11" t="s">
        <v>215</v>
      </c>
    </row>
    <row r="20" customFormat="false" ht="15" hidden="false" customHeight="true" outlineLevel="0" collapsed="false">
      <c r="A20" s="30" t="s">
        <v>275</v>
      </c>
      <c r="B20" s="31" t="s">
        <v>276</v>
      </c>
      <c r="C20" s="31" t="s">
        <v>277</v>
      </c>
      <c r="D20" s="31" t="s">
        <v>273</v>
      </c>
      <c r="E20" s="31" t="s">
        <v>274</v>
      </c>
      <c r="F20" s="31" t="n">
        <v>0.5</v>
      </c>
      <c r="G20" s="31" t="n">
        <v>11.5</v>
      </c>
      <c r="H20" s="31" t="s">
        <v>215</v>
      </c>
      <c r="I20" s="30" t="s">
        <v>136</v>
      </c>
      <c r="J20" s="30"/>
      <c r="K20" s="11" t="s">
        <v>215</v>
      </c>
    </row>
    <row r="21" customFormat="false" ht="15" hidden="false" customHeight="true" outlineLevel="0" collapsed="false">
      <c r="A21" s="30" t="s">
        <v>278</v>
      </c>
      <c r="B21" s="31" t="s">
        <v>279</v>
      </c>
      <c r="C21" s="31" t="s">
        <v>277</v>
      </c>
      <c r="D21" s="31" t="s">
        <v>273</v>
      </c>
      <c r="E21" s="31" t="s">
        <v>274</v>
      </c>
      <c r="F21" s="31" t="n">
        <v>0.5</v>
      </c>
      <c r="G21" s="31" t="n">
        <v>11.5</v>
      </c>
      <c r="H21" s="31" t="s">
        <v>215</v>
      </c>
      <c r="I21" s="30" t="s">
        <v>136</v>
      </c>
      <c r="J21" s="30"/>
      <c r="K21" s="11" t="s">
        <v>215</v>
      </c>
    </row>
    <row r="22" customFormat="false" ht="15" hidden="false" customHeight="true" outlineLevel="0" collapsed="false">
      <c r="A22" s="30" t="s">
        <v>280</v>
      </c>
      <c r="B22" s="31" t="s">
        <v>281</v>
      </c>
      <c r="C22" s="31" t="s">
        <v>272</v>
      </c>
      <c r="D22" s="31" t="s">
        <v>282</v>
      </c>
      <c r="E22" s="31" t="s">
        <v>274</v>
      </c>
      <c r="F22" s="31" t="n">
        <v>1</v>
      </c>
      <c r="G22" s="31" t="n">
        <v>13</v>
      </c>
      <c r="H22" s="31" t="s">
        <v>215</v>
      </c>
      <c r="I22" s="30" t="s">
        <v>136</v>
      </c>
      <c r="J22" s="30"/>
      <c r="K22" s="11" t="s">
        <v>215</v>
      </c>
    </row>
    <row r="23" customFormat="false" ht="15" hidden="false" customHeight="true" outlineLevel="0" collapsed="false">
      <c r="A23" s="30" t="s">
        <v>283</v>
      </c>
      <c r="B23" s="31" t="s">
        <v>284</v>
      </c>
      <c r="C23" s="31" t="s">
        <v>277</v>
      </c>
      <c r="D23" s="31" t="s">
        <v>282</v>
      </c>
      <c r="E23" s="31" t="s">
        <v>274</v>
      </c>
      <c r="F23" s="31" t="n">
        <v>0.5</v>
      </c>
      <c r="G23" s="31" t="n">
        <v>11.5</v>
      </c>
      <c r="H23" s="31" t="s">
        <v>215</v>
      </c>
      <c r="I23" s="30" t="s">
        <v>136</v>
      </c>
      <c r="J23" s="30"/>
      <c r="K23" s="11" t="s">
        <v>215</v>
      </c>
    </row>
    <row r="24" customFormat="false" ht="15" hidden="false" customHeight="true" outlineLevel="0" collapsed="false">
      <c r="A24" s="30" t="s">
        <v>285</v>
      </c>
      <c r="B24" s="31" t="s">
        <v>286</v>
      </c>
      <c r="C24" s="31" t="s">
        <v>277</v>
      </c>
      <c r="D24" s="31" t="s">
        <v>282</v>
      </c>
      <c r="E24" s="31" t="s">
        <v>274</v>
      </c>
      <c r="F24" s="31" t="n">
        <v>0.5</v>
      </c>
      <c r="G24" s="31" t="n">
        <v>11.5</v>
      </c>
      <c r="H24" s="31" t="s">
        <v>215</v>
      </c>
      <c r="I24" s="30" t="s">
        <v>136</v>
      </c>
      <c r="J24" s="30"/>
      <c r="K24" s="11" t="s">
        <v>215</v>
      </c>
    </row>
    <row r="25" customFormat="false" ht="15" hidden="false" customHeight="true" outlineLevel="0" collapsed="false">
      <c r="A25" s="30" t="s">
        <v>287</v>
      </c>
      <c r="B25" s="31" t="s">
        <v>288</v>
      </c>
      <c r="C25" s="31" t="s">
        <v>289</v>
      </c>
      <c r="D25" s="31" t="s">
        <v>99</v>
      </c>
      <c r="E25" s="31" t="s">
        <v>290</v>
      </c>
      <c r="F25" s="31" t="n">
        <v>1</v>
      </c>
      <c r="G25" s="31" t="n">
        <v>13</v>
      </c>
      <c r="H25" s="31" t="s">
        <v>215</v>
      </c>
      <c r="I25" s="30" t="s">
        <v>136</v>
      </c>
      <c r="J25" s="30"/>
      <c r="K25" s="11" t="s">
        <v>215</v>
      </c>
    </row>
    <row r="26" customFormat="false" ht="15" hidden="false" customHeight="true" outlineLevel="0" collapsed="false">
      <c r="A26" s="30" t="s">
        <v>291</v>
      </c>
      <c r="B26" s="31" t="s">
        <v>292</v>
      </c>
      <c r="C26" s="31" t="s">
        <v>293</v>
      </c>
      <c r="D26" s="31" t="s">
        <v>99</v>
      </c>
      <c r="E26" s="31" t="s">
        <v>290</v>
      </c>
      <c r="F26" s="31" t="n">
        <v>0.5</v>
      </c>
      <c r="G26" s="31" t="n">
        <v>11.5</v>
      </c>
      <c r="H26" s="31" t="s">
        <v>215</v>
      </c>
      <c r="I26" s="30" t="s">
        <v>136</v>
      </c>
      <c r="J26" s="30"/>
      <c r="K26" s="11" t="s">
        <v>215</v>
      </c>
    </row>
    <row r="27" customFormat="false" ht="15" hidden="false" customHeight="true" outlineLevel="0" collapsed="false">
      <c r="A27" s="30" t="s">
        <v>294</v>
      </c>
      <c r="B27" s="31" t="s">
        <v>295</v>
      </c>
      <c r="C27" s="31" t="s">
        <v>293</v>
      </c>
      <c r="D27" s="31" t="s">
        <v>99</v>
      </c>
      <c r="E27" s="31" t="s">
        <v>290</v>
      </c>
      <c r="F27" s="31" t="n">
        <v>0.5</v>
      </c>
      <c r="G27" s="31" t="n">
        <v>11.5</v>
      </c>
      <c r="H27" s="31" t="s">
        <v>215</v>
      </c>
      <c r="I27" s="30" t="s">
        <v>136</v>
      </c>
      <c r="J27" s="30"/>
      <c r="K27" s="11" t="s">
        <v>215</v>
      </c>
    </row>
    <row r="28" customFormat="false" ht="15" hidden="false" customHeight="true" outlineLevel="0" collapsed="false">
      <c r="A28" s="1" t="s">
        <v>296</v>
      </c>
      <c r="B28" s="1" t="s">
        <v>297</v>
      </c>
      <c r="C28" s="1" t="s">
        <v>298</v>
      </c>
      <c r="D28" s="32" t="s">
        <v>239</v>
      </c>
      <c r="E28" s="32" t="s">
        <v>299</v>
      </c>
      <c r="F28" s="1" t="n">
        <v>0.5</v>
      </c>
      <c r="G28" s="1" t="n">
        <v>10.5</v>
      </c>
      <c r="H28" s="32" t="s">
        <v>215</v>
      </c>
      <c r="I28" s="33" t="n">
        <v>45663</v>
      </c>
      <c r="J28" s="1" t="s">
        <v>300</v>
      </c>
      <c r="K28" s="11" t="s">
        <v>215</v>
      </c>
    </row>
    <row r="29" customFormat="false" ht="15" hidden="false" customHeight="true" outlineLevel="0" collapsed="false">
      <c r="A29" s="1" t="s">
        <v>301</v>
      </c>
      <c r="B29" s="1" t="s">
        <v>302</v>
      </c>
      <c r="C29" s="1" t="s">
        <v>303</v>
      </c>
      <c r="D29" s="32" t="s">
        <v>257</v>
      </c>
      <c r="E29" s="32" t="s">
        <v>304</v>
      </c>
      <c r="F29" s="1" t="n">
        <v>1</v>
      </c>
      <c r="G29" s="1" t="n">
        <v>12</v>
      </c>
      <c r="H29" s="32" t="s">
        <v>215</v>
      </c>
      <c r="I29" s="33" t="n">
        <v>45663</v>
      </c>
      <c r="J29" s="1" t="s">
        <v>305</v>
      </c>
      <c r="K29" s="11" t="s">
        <v>215</v>
      </c>
    </row>
    <row r="30" customFormat="false" ht="15" hidden="false" customHeight="true" outlineLevel="0" collapsed="false">
      <c r="A30" s="8" t="s">
        <v>306</v>
      </c>
      <c r="D30" s="32"/>
      <c r="E30" s="32"/>
      <c r="H30" s="32"/>
    </row>
    <row r="31" customFormat="false" ht="15" hidden="false" customHeight="true" outlineLevel="0" collapsed="false">
      <c r="A31" s="1" t="s">
        <v>239</v>
      </c>
      <c r="B31" s="34" t="n">
        <f aca="false">COUNTIFS(D5:D100,"Day A",H5:H100,"Y")</f>
        <v>8</v>
      </c>
      <c r="D31" s="32"/>
      <c r="E31" s="32"/>
      <c r="H31" s="32"/>
    </row>
    <row r="32" customFormat="false" ht="15" hidden="false" customHeight="true" outlineLevel="0" collapsed="false">
      <c r="A32" s="1" t="s">
        <v>257</v>
      </c>
      <c r="B32" s="34" t="n">
        <f aca="false">COUNTIFS(D5:D100,"Day B",H5:H100,"Y")</f>
        <v>8</v>
      </c>
      <c r="D32" s="32"/>
      <c r="E32" s="32"/>
      <c r="H32" s="32"/>
    </row>
    <row r="33" customFormat="false" ht="15" hidden="false" customHeight="true" outlineLevel="0" collapsed="false">
      <c r="A33" s="1" t="s">
        <v>273</v>
      </c>
      <c r="B33" s="34" t="n">
        <f aca="false">COUNTIFS(D5:D100,"Night A",H5:H100,"Y")</f>
        <v>3</v>
      </c>
    </row>
    <row r="34" customFormat="false" ht="15" hidden="false" customHeight="true" outlineLevel="0" collapsed="false">
      <c r="A34" s="1" t="s">
        <v>282</v>
      </c>
      <c r="B34" s="34" t="n">
        <f aca="false">COUNTIFS(D5:D100,"Night B",H5:H100,"Y")</f>
        <v>3</v>
      </c>
    </row>
    <row r="35" customFormat="false" ht="15" hidden="false" customHeight="true" outlineLevel="0" collapsed="false">
      <c r="A35" s="1" t="s">
        <v>99</v>
      </c>
      <c r="B35" s="34" t="n">
        <f aca="false">COUNTIFS(D5:D100,"Float",H5:H100,"Y")</f>
        <v>3</v>
      </c>
    </row>
    <row r="36" customFormat="false" ht="15" hidden="false" customHeight="true" outlineLevel="0" collapsed="false">
      <c r="A36" s="1" t="s">
        <v>307</v>
      </c>
      <c r="B36" s="34" t="n">
        <f aca="false">COUNTIF(H5:H100,"Y")</f>
        <v>25</v>
      </c>
    </row>
    <row r="37" customFormat="false" ht="15" hidden="false" customHeight="true" outlineLevel="0" collapsed="false">
      <c r="A37" s="1" t="s">
        <v>308</v>
      </c>
      <c r="B37" s="1" t="n">
        <f aca="false">COUNTIFS(E5:E100,"E",H5:H100,"Y")+COUNTIFS(E5:E100,"L",H5:H100,"Y")</f>
        <v>2</v>
      </c>
    </row>
    <row r="38" customFormat="false" ht="15" hidden="false" customHeight="true" outlineLevel="0" collapsed="false">
      <c r="A38" s="1" t="s">
        <v>307</v>
      </c>
      <c r="B38" s="1" t="n">
        <f aca="false">COUNTIF(H5:H100,"Y")</f>
        <v>25</v>
      </c>
    </row>
  </sheetData>
  <dataValidations count="3">
    <dataValidation allowBlank="false" errorStyle="stop" operator="between" showDropDown="false" showErrorMessage="false" showInputMessage="false" sqref="D5:D32" type="list">
      <formula1>"Day A,Day B,Night A,Night B,Float"</formula1>
      <formula2>0</formula2>
    </dataValidation>
    <dataValidation allowBlank="false" errorStyle="stop" operator="between" showDropDown="false" showErrorMessage="false" showInputMessage="false" sqref="E5:E32" type="list">
      <formula1>"E,L,EL,N,ANY"</formula1>
      <formula2>0</formula2>
    </dataValidation>
    <dataValidation allowBlank="false" errorStyle="stop" operator="between" showDropDown="false" showErrorMessage="false" showInputMessage="false" sqref="H5:H3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"/>
    <col collapsed="false" customWidth="true" hidden="false" outlineLevel="0" max="32" min="3" style="1" width="6"/>
    <col collapsed="false" customWidth="true" hidden="false" outlineLevel="0" max="39" min="33" style="1" width="10"/>
  </cols>
  <sheetData>
    <row r="1" customFormat="false" ht="17.25" hidden="false" customHeight="true" outlineLevel="0" collapsed="false">
      <c r="A1" s="4" t="s">
        <v>309</v>
      </c>
    </row>
    <row r="2" customFormat="false" ht="15" hidden="false" customHeight="true" outlineLevel="0" collapsed="false">
      <c r="A2" s="35" t="s">
        <v>310</v>
      </c>
      <c r="E2" s="8" t="s">
        <v>311</v>
      </c>
      <c r="L2" s="8" t="s">
        <v>312</v>
      </c>
      <c r="S2" s="8" t="s">
        <v>313</v>
      </c>
      <c r="Z2" s="8" t="s">
        <v>314</v>
      </c>
    </row>
    <row r="3" customFormat="false" ht="27.75" hidden="false" customHeight="true" outlineLevel="0" collapsed="false">
      <c r="A3" s="29" t="s">
        <v>43</v>
      </c>
      <c r="B3" s="29" t="s">
        <v>7</v>
      </c>
      <c r="C3" s="29" t="s">
        <v>230</v>
      </c>
      <c r="D3" s="29" t="s">
        <v>8</v>
      </c>
      <c r="E3" s="36" t="s">
        <v>315</v>
      </c>
      <c r="F3" s="36" t="s">
        <v>316</v>
      </c>
      <c r="G3" s="36" t="s">
        <v>317</v>
      </c>
      <c r="H3" s="36" t="s">
        <v>318</v>
      </c>
      <c r="I3" s="36" t="s">
        <v>319</v>
      </c>
      <c r="J3" s="36" t="s">
        <v>320</v>
      </c>
      <c r="K3" s="36" t="s">
        <v>321</v>
      </c>
      <c r="L3" s="36" t="s">
        <v>322</v>
      </c>
      <c r="M3" s="36" t="s">
        <v>323</v>
      </c>
      <c r="N3" s="36" t="s">
        <v>324</v>
      </c>
      <c r="O3" s="36" t="s">
        <v>325</v>
      </c>
      <c r="P3" s="36" t="s">
        <v>326</v>
      </c>
      <c r="Q3" s="36" t="s">
        <v>327</v>
      </c>
      <c r="R3" s="36" t="s">
        <v>328</v>
      </c>
      <c r="S3" s="36" t="s">
        <v>329</v>
      </c>
      <c r="T3" s="36" t="s">
        <v>330</v>
      </c>
      <c r="U3" s="36" t="s">
        <v>331</v>
      </c>
      <c r="V3" s="36" t="s">
        <v>332</v>
      </c>
      <c r="W3" s="36" t="s">
        <v>333</v>
      </c>
      <c r="X3" s="36" t="s">
        <v>334</v>
      </c>
      <c r="Y3" s="36" t="s">
        <v>335</v>
      </c>
      <c r="Z3" s="36" t="s">
        <v>336</v>
      </c>
      <c r="AA3" s="36" t="s">
        <v>337</v>
      </c>
      <c r="AB3" s="36" t="s">
        <v>338</v>
      </c>
      <c r="AC3" s="36" t="s">
        <v>339</v>
      </c>
      <c r="AD3" s="36" t="s">
        <v>340</v>
      </c>
      <c r="AE3" s="36" t="s">
        <v>341</v>
      </c>
      <c r="AF3" s="36" t="s">
        <v>342</v>
      </c>
      <c r="AG3" s="23" t="s">
        <v>231</v>
      </c>
      <c r="AH3" s="23" t="s">
        <v>343</v>
      </c>
      <c r="AI3" s="23" t="s">
        <v>344</v>
      </c>
      <c r="AJ3" s="23" t="s">
        <v>345</v>
      </c>
      <c r="AK3" s="23" t="s">
        <v>346</v>
      </c>
      <c r="AL3" s="23" t="s">
        <v>311</v>
      </c>
      <c r="AM3" s="23" t="s">
        <v>312</v>
      </c>
      <c r="AN3" s="23" t="s">
        <v>10</v>
      </c>
      <c r="AO3" s="8" t="s">
        <v>347</v>
      </c>
      <c r="AP3" s="8" t="s">
        <v>348</v>
      </c>
      <c r="AQ3" s="8" t="s">
        <v>349</v>
      </c>
    </row>
    <row r="4" customFormat="false" ht="15" hidden="false" customHeight="true" outlineLevel="0" collapsed="false">
      <c r="A4" s="1" t="s">
        <v>237</v>
      </c>
      <c r="B4" s="1" t="s">
        <v>239</v>
      </c>
      <c r="C4" s="1" t="s">
        <v>240</v>
      </c>
      <c r="D4" s="1" t="n">
        <v>1</v>
      </c>
      <c r="E4" s="37" t="s">
        <v>240</v>
      </c>
      <c r="F4" s="37" t="s">
        <v>240</v>
      </c>
      <c r="G4" s="37" t="s">
        <v>350</v>
      </c>
      <c r="H4" s="37" t="s">
        <v>350</v>
      </c>
      <c r="I4" s="37" t="s">
        <v>240</v>
      </c>
      <c r="J4" s="38" t="s">
        <v>240</v>
      </c>
      <c r="K4" s="38" t="s">
        <v>240</v>
      </c>
      <c r="L4" s="37" t="s">
        <v>350</v>
      </c>
      <c r="M4" s="37" t="s">
        <v>350</v>
      </c>
      <c r="N4" s="37" t="s">
        <v>240</v>
      </c>
      <c r="O4" s="37" t="s">
        <v>240</v>
      </c>
      <c r="P4" s="37" t="s">
        <v>350</v>
      </c>
      <c r="Q4" s="38" t="s">
        <v>350</v>
      </c>
      <c r="R4" s="38" t="s">
        <v>350</v>
      </c>
      <c r="S4" s="37" t="s">
        <v>240</v>
      </c>
      <c r="T4" s="37" t="s">
        <v>240</v>
      </c>
      <c r="U4" s="37" t="s">
        <v>350</v>
      </c>
      <c r="V4" s="37" t="s">
        <v>350</v>
      </c>
      <c r="W4" s="37" t="s">
        <v>240</v>
      </c>
      <c r="X4" s="38" t="s">
        <v>240</v>
      </c>
      <c r="Y4" s="38" t="s">
        <v>240</v>
      </c>
      <c r="Z4" s="37" t="s">
        <v>350</v>
      </c>
      <c r="AA4" s="37" t="s">
        <v>350</v>
      </c>
      <c r="AB4" s="37" t="s">
        <v>240</v>
      </c>
      <c r="AC4" s="37" t="s">
        <v>240</v>
      </c>
      <c r="AD4" s="37" t="s">
        <v>350</v>
      </c>
      <c r="AE4" s="38" t="s">
        <v>350</v>
      </c>
      <c r="AF4" s="38" t="s">
        <v>350</v>
      </c>
      <c r="AG4" s="24" t="n">
        <v>12.5</v>
      </c>
      <c r="AH4" s="34" t="n">
        <f aca="false">(COUNTIF(E4:AF4,"E")*CONFIG!$B$9+COUNTIF(E4:AF4,"L")*CONFIG!$B$10+COUNTIF(E4:AF4,"EL")*CONFIG!$B$11+COUNTIF(E4:AF4,"N")*CONFIG!$B$12+COUNTIF(E4:AF4,"OC-E")*CONFIG!$B$9+COUNTIF(E4:AF4,"OC-L")*CONFIG!$B$10+COUNTIF(E4:AF4,"OC-EL")*CONFIG!$B$11+COUNTIF(E4:AF4,"OC-N")*CONFIG!$B$12+COUNTIF(E4:AF4,"ADM")*CONFIG!$B$9+COUNTIF(E4:AF4,"TRN")*CONFIG!$B$9+COUNTIF(E4:AF4,"BH-D")*CONFIG!$B$11+COUNTIF(E4:AF4,"BH-N")*CONFIG!$B$12)</f>
        <v>171.5</v>
      </c>
      <c r="AI4" s="34" t="n">
        <f aca="false">AH4*AG4</f>
        <v>2143.75</v>
      </c>
      <c r="AJ4" s="34" t="n">
        <f aca="false">(COUNTIF(E4:AF4,"OC-E")*CONFIG!$B$9+COUNTIF(E4:AF4,"OC-L")*CONFIG!$B$10+COUNTIF(E4:AF4,"OC-EL")*CONFIG!$B$11+COUNTIF(E4:AF4,"OC-N")*CONFIG!$B$12+COUNTIF(E4:AF4,"OT")*CONFIG!$B$9)</f>
        <v>0</v>
      </c>
      <c r="AK4" s="34" t="n">
        <f aca="false">AJ4*CONFIG!$B$28</f>
        <v>0</v>
      </c>
      <c r="AL4" s="34" t="n">
        <f aca="false">(COUNTIF(E4:K4,"E")+COUNTIF(E4:K4,"L")+COUNTIF(E4:K4,"OC-E")+COUNTIF(E4:K4,"OC-L"))*6+(COUNTIF(E4:K4,"EL")+COUNTIF(E4:K4,"OC-EL")+COUNTIF(E4:K4,"BH-D"))*12.25+(COUNTIF(E4:K4,"N")+COUNTIF(E4:K4,"OC-N")+COUNTIF(E4:K4,"BH-N"))*12.25</f>
        <v>61.25</v>
      </c>
      <c r="AM4" s="34" t="n">
        <f aca="false">(COUNTIF(L4:R4,"E")+COUNTIF(L4:R4,"L")+COUNTIF(L4:R4,"OC-E")+COUNTIF(L4:R4,"OC-L"))*6+(COUNTIF(L4:R4,"EL")+COUNTIF(L4:R4,"OC-EL")+COUNTIF(L4:R4,"BH-D"))*12.25+(COUNTIF(L4:R4,"N")+COUNTIF(L4:R4,"OC-N")+COUNTIF(L4:R4,"BH-N"))*12.25</f>
        <v>24.5</v>
      </c>
      <c r="AN4" s="34" t="str">
        <f aca="false">IF(AL4&lt;AM4,"Short W1",IF(AM4&lt;AL4,"Short W2","Balanced"))</f>
        <v>Short W2</v>
      </c>
      <c r="AO4" s="1" t="n">
        <f aca="false">(COUNTIF(E4:AF4,"BH-D")*CONFIG!$B$11*AG4*(CONFIG!$B$46-1)+COUNTIF(E4:AF4,"BH-N")*CONFIG!$B$12*AG4*(CONFIG!$B$46-1))</f>
        <v>0</v>
      </c>
      <c r="AP4" s="1" t="n">
        <f aca="false">AH4/4</f>
        <v>42.875</v>
      </c>
      <c r="AQ4" s="1" t="str">
        <f aca="false">IF(AP4&gt;48,"⚠️ &gt;48hr WTR BREACH",IF(AP4&gt;44,"🟡 HIGH","✅ OK"))</f>
        <v>✅ OK</v>
      </c>
    </row>
    <row r="5" customFormat="false" ht="15" hidden="false" customHeight="true" outlineLevel="0" collapsed="false">
      <c r="A5" s="1" t="s">
        <v>242</v>
      </c>
      <c r="B5" s="1" t="s">
        <v>239</v>
      </c>
      <c r="C5" s="1" t="s">
        <v>240</v>
      </c>
      <c r="D5" s="1" t="n">
        <v>0.5</v>
      </c>
      <c r="E5" s="37" t="s">
        <v>240</v>
      </c>
      <c r="F5" s="37" t="s">
        <v>240</v>
      </c>
      <c r="G5" s="37" t="s">
        <v>350</v>
      </c>
      <c r="H5" s="37" t="s">
        <v>350</v>
      </c>
      <c r="I5" s="37" t="s">
        <v>240</v>
      </c>
      <c r="J5" s="38" t="s">
        <v>240</v>
      </c>
      <c r="K5" s="38" t="s">
        <v>240</v>
      </c>
      <c r="L5" s="37" t="s">
        <v>350</v>
      </c>
      <c r="M5" s="37" t="s">
        <v>350</v>
      </c>
      <c r="N5" s="37" t="s">
        <v>240</v>
      </c>
      <c r="O5" s="37" t="s">
        <v>240</v>
      </c>
      <c r="P5" s="37" t="s">
        <v>350</v>
      </c>
      <c r="Q5" s="38" t="s">
        <v>350</v>
      </c>
      <c r="R5" s="38" t="s">
        <v>350</v>
      </c>
      <c r="S5" s="37" t="s">
        <v>240</v>
      </c>
      <c r="T5" s="37" t="s">
        <v>240</v>
      </c>
      <c r="U5" s="37" t="s">
        <v>350</v>
      </c>
      <c r="V5" s="37" t="s">
        <v>350</v>
      </c>
      <c r="W5" s="37" t="s">
        <v>240</v>
      </c>
      <c r="X5" s="38" t="s">
        <v>240</v>
      </c>
      <c r="Y5" s="38" t="s">
        <v>240</v>
      </c>
      <c r="Z5" s="37" t="s">
        <v>350</v>
      </c>
      <c r="AA5" s="37" t="s">
        <v>350</v>
      </c>
      <c r="AB5" s="37" t="s">
        <v>240</v>
      </c>
      <c r="AC5" s="37" t="s">
        <v>240</v>
      </c>
      <c r="AD5" s="37" t="s">
        <v>350</v>
      </c>
      <c r="AE5" s="38" t="s">
        <v>350</v>
      </c>
      <c r="AF5" s="38" t="s">
        <v>350</v>
      </c>
      <c r="AG5" s="24" t="n">
        <v>11</v>
      </c>
      <c r="AH5" s="34" t="n">
        <f aca="false">(COUNTIF(E5:AF5,"E")*CONFIG!$B$9+COUNTIF(E5:AF5,"L")*CONFIG!$B$10+COUNTIF(E5:AF5,"EL")*CONFIG!$B$11+COUNTIF(E5:AF5,"N")*CONFIG!$B$12+COUNTIF(E5:AF5,"OC-E")*CONFIG!$B$9+COUNTIF(E5:AF5,"OC-L")*CONFIG!$B$10+COUNTIF(E5:AF5,"OC-EL")*CONFIG!$B$11+COUNTIF(E5:AF5,"OC-N")*CONFIG!$B$12+COUNTIF(E5:AF5,"ADM")*CONFIG!$B$9+COUNTIF(E5:AF5,"TRN")*CONFIG!$B$9+COUNTIF(E5:AF5,"BH-D")*CONFIG!$B$11+COUNTIF(E5:AF5,"BH-N")*CONFIG!$B$12)</f>
        <v>171.5</v>
      </c>
      <c r="AI5" s="34" t="n">
        <f aca="false">AH5*AG5</f>
        <v>1886.5</v>
      </c>
      <c r="AJ5" s="34" t="n">
        <f aca="false">(COUNTIF(E5:AF5,"OC-E")*CONFIG!$B$9+COUNTIF(E5:AF5,"OC-L")*CONFIG!$B$10+COUNTIF(E5:AF5,"OC-EL")*CONFIG!$B$11+COUNTIF(E5:AF5,"OC-N")*CONFIG!$B$12+COUNTIF(E5:AF5,"OT")*CONFIG!$B$9)</f>
        <v>0</v>
      </c>
      <c r="AK5" s="34" t="n">
        <f aca="false">AJ5*CONFIG!$B$28</f>
        <v>0</v>
      </c>
      <c r="AL5" s="34" t="n">
        <f aca="false">(COUNTIF(E5:K5,"E")+COUNTIF(E5:K5,"L")+COUNTIF(E5:K5,"OC-E")+COUNTIF(E5:K5,"OC-L"))*6+(COUNTIF(E5:K5,"EL")+COUNTIF(E5:K5,"OC-EL")+COUNTIF(E5:K5,"BH-D"))*12.25+(COUNTIF(E5:K5,"N")+COUNTIF(E5:K5,"OC-N")+COUNTIF(E5:K5,"BH-N"))*12.25</f>
        <v>61.25</v>
      </c>
      <c r="AM5" s="34" t="n">
        <f aca="false">(COUNTIF(L5:R5,"E")+COUNTIF(L5:R5,"L")+COUNTIF(L5:R5,"OC-E")+COUNTIF(L5:R5,"OC-L"))*6+(COUNTIF(L5:R5,"EL")+COUNTIF(L5:R5,"OC-EL")+COUNTIF(L5:R5,"BH-D"))*12.25+(COUNTIF(L5:R5,"N")+COUNTIF(L5:R5,"OC-N")+COUNTIF(L5:R5,"BH-N"))*12.25</f>
        <v>24.5</v>
      </c>
      <c r="AN5" s="34" t="str">
        <f aca="false">IF(AL5&lt;AM5,"Short W1",IF(AM5&lt;AL5,"Short W2","Balanced"))</f>
        <v>Short W2</v>
      </c>
      <c r="AO5" s="1" t="n">
        <f aca="false">(COUNTIF(E5:AF5,"BH-D")*CONFIG!$B$11*AG5*(CONFIG!$B$46-1)+COUNTIF(E5:AF5,"BH-N")*CONFIG!$B$12*AG5*(CONFIG!$B$46-1))</f>
        <v>0</v>
      </c>
      <c r="AP5" s="1" t="n">
        <f aca="false">AH5/4</f>
        <v>42.875</v>
      </c>
      <c r="AQ5" s="1" t="str">
        <f aca="false">IF(AP5&gt;48,"⚠️ &gt;48hr WTR BREACH",IF(AP5&gt;44,"🟡 HIGH","✅ OK"))</f>
        <v>✅ OK</v>
      </c>
    </row>
    <row r="6" customFormat="false" ht="15" hidden="false" customHeight="true" outlineLevel="0" collapsed="false">
      <c r="A6" s="1" t="s">
        <v>245</v>
      </c>
      <c r="B6" s="1" t="s">
        <v>239</v>
      </c>
      <c r="C6" s="1" t="s">
        <v>240</v>
      </c>
      <c r="D6" s="1" t="n">
        <v>1</v>
      </c>
      <c r="E6" s="37" t="s">
        <v>240</v>
      </c>
      <c r="F6" s="37" t="s">
        <v>240</v>
      </c>
      <c r="G6" s="37" t="s">
        <v>350</v>
      </c>
      <c r="H6" s="37" t="s">
        <v>350</v>
      </c>
      <c r="I6" s="37" t="s">
        <v>240</v>
      </c>
      <c r="J6" s="38" t="s">
        <v>240</v>
      </c>
      <c r="K6" s="38" t="s">
        <v>240</v>
      </c>
      <c r="L6" s="37" t="s">
        <v>350</v>
      </c>
      <c r="M6" s="37" t="s">
        <v>350</v>
      </c>
      <c r="N6" s="37" t="s">
        <v>240</v>
      </c>
      <c r="O6" s="37" t="s">
        <v>240</v>
      </c>
      <c r="P6" s="37" t="s">
        <v>350</v>
      </c>
      <c r="Q6" s="38" t="s">
        <v>350</v>
      </c>
      <c r="R6" s="38" t="s">
        <v>350</v>
      </c>
      <c r="S6" s="37" t="s">
        <v>240</v>
      </c>
      <c r="T6" s="37" t="s">
        <v>240</v>
      </c>
      <c r="U6" s="37" t="s">
        <v>350</v>
      </c>
      <c r="V6" s="37" t="s">
        <v>350</v>
      </c>
      <c r="W6" s="37" t="s">
        <v>240</v>
      </c>
      <c r="X6" s="38" t="s">
        <v>240</v>
      </c>
      <c r="Y6" s="38" t="s">
        <v>240</v>
      </c>
      <c r="Z6" s="37" t="s">
        <v>350</v>
      </c>
      <c r="AA6" s="37" t="s">
        <v>350</v>
      </c>
      <c r="AB6" s="37" t="s">
        <v>240</v>
      </c>
      <c r="AC6" s="37" t="s">
        <v>240</v>
      </c>
      <c r="AD6" s="37" t="s">
        <v>350</v>
      </c>
      <c r="AE6" s="38" t="s">
        <v>350</v>
      </c>
      <c r="AF6" s="38" t="s">
        <v>350</v>
      </c>
      <c r="AG6" s="24" t="n">
        <v>12.5</v>
      </c>
      <c r="AH6" s="34" t="n">
        <f aca="false">(COUNTIF(E6:AF6,"E")*CONFIG!$B$9+COUNTIF(E6:AF6,"L")*CONFIG!$B$10+COUNTIF(E6:AF6,"EL")*CONFIG!$B$11+COUNTIF(E6:AF6,"N")*CONFIG!$B$12+COUNTIF(E6:AF6,"OC-E")*CONFIG!$B$9+COUNTIF(E6:AF6,"OC-L")*CONFIG!$B$10+COUNTIF(E6:AF6,"OC-EL")*CONFIG!$B$11+COUNTIF(E6:AF6,"OC-N")*CONFIG!$B$12+COUNTIF(E6:AF6,"ADM")*CONFIG!$B$9+COUNTIF(E6:AF6,"TRN")*CONFIG!$B$9+COUNTIF(E6:AF6,"BH-D")*CONFIG!$B$11+COUNTIF(E6:AF6,"BH-N")*CONFIG!$B$12)</f>
        <v>171.5</v>
      </c>
      <c r="AI6" s="34" t="n">
        <f aca="false">AH6*AG6</f>
        <v>2143.75</v>
      </c>
      <c r="AJ6" s="34" t="n">
        <f aca="false">(COUNTIF(E6:AF6,"OC-E")*CONFIG!$B$9+COUNTIF(E6:AF6,"OC-L")*CONFIG!$B$10+COUNTIF(E6:AF6,"OC-EL")*CONFIG!$B$11+COUNTIF(E6:AF6,"OC-N")*CONFIG!$B$12+COUNTIF(E6:AF6,"OT")*CONFIG!$B$9)</f>
        <v>0</v>
      </c>
      <c r="AK6" s="34" t="n">
        <f aca="false">AJ6*CONFIG!$B$28</f>
        <v>0</v>
      </c>
      <c r="AL6" s="34" t="n">
        <f aca="false">(COUNTIF(E6:K6,"E")+COUNTIF(E6:K6,"L")+COUNTIF(E6:K6,"OC-E")+COUNTIF(E6:K6,"OC-L"))*6+(COUNTIF(E6:K6,"EL")+COUNTIF(E6:K6,"OC-EL")+COUNTIF(E6:K6,"BH-D"))*12.25+(COUNTIF(E6:K6,"N")+COUNTIF(E6:K6,"OC-N")+COUNTIF(E6:K6,"BH-N"))*12.25</f>
        <v>61.25</v>
      </c>
      <c r="AM6" s="34" t="n">
        <f aca="false">(COUNTIF(L6:R6,"E")+COUNTIF(L6:R6,"L")+COUNTIF(L6:R6,"OC-E")+COUNTIF(L6:R6,"OC-L"))*6+(COUNTIF(L6:R6,"EL")+COUNTIF(L6:R6,"OC-EL")+COUNTIF(L6:R6,"BH-D"))*12.25+(COUNTIF(L6:R6,"N")+COUNTIF(L6:R6,"OC-N")+COUNTIF(L6:R6,"BH-N"))*12.25</f>
        <v>24.5</v>
      </c>
      <c r="AN6" s="34" t="str">
        <f aca="false">IF(AL6&lt;AM6,"Short W1",IF(AM6&lt;AL6,"Short W2","Balanced"))</f>
        <v>Short W2</v>
      </c>
      <c r="AO6" s="1" t="n">
        <f aca="false">(COUNTIF(E6:AF6,"BH-D")*CONFIG!$B$11*AG6*(CONFIG!$B$46-1)+COUNTIF(E6:AF6,"BH-N")*CONFIG!$B$12*AG6*(CONFIG!$B$46-1))</f>
        <v>0</v>
      </c>
      <c r="AP6" s="1" t="n">
        <f aca="false">AH6/4</f>
        <v>42.875</v>
      </c>
      <c r="AQ6" s="1" t="str">
        <f aca="false">IF(AP6&gt;48,"⚠️ &gt;48hr WTR BREACH",IF(AP6&gt;44,"🟡 HIGH","✅ OK"))</f>
        <v>✅ OK</v>
      </c>
    </row>
    <row r="7" customFormat="false" ht="15" hidden="false" customHeight="true" outlineLevel="0" collapsed="false">
      <c r="A7" s="1" t="s">
        <v>247</v>
      </c>
      <c r="B7" s="1" t="s">
        <v>239</v>
      </c>
      <c r="C7" s="1" t="s">
        <v>240</v>
      </c>
      <c r="D7" s="1" t="n">
        <v>0.5</v>
      </c>
      <c r="E7" s="37" t="s">
        <v>240</v>
      </c>
      <c r="F7" s="37" t="s">
        <v>240</v>
      </c>
      <c r="G7" s="37" t="s">
        <v>350</v>
      </c>
      <c r="H7" s="37" t="s">
        <v>350</v>
      </c>
      <c r="I7" s="37" t="s">
        <v>240</v>
      </c>
      <c r="J7" s="38" t="s">
        <v>240</v>
      </c>
      <c r="K7" s="38" t="s">
        <v>240</v>
      </c>
      <c r="L7" s="37" t="s">
        <v>350</v>
      </c>
      <c r="M7" s="37" t="s">
        <v>350</v>
      </c>
      <c r="N7" s="37" t="s">
        <v>240</v>
      </c>
      <c r="O7" s="37" t="s">
        <v>240</v>
      </c>
      <c r="P7" s="37" t="s">
        <v>350</v>
      </c>
      <c r="Q7" s="38" t="s">
        <v>350</v>
      </c>
      <c r="R7" s="38" t="s">
        <v>350</v>
      </c>
      <c r="S7" s="37" t="s">
        <v>240</v>
      </c>
      <c r="T7" s="37" t="s">
        <v>240</v>
      </c>
      <c r="U7" s="37" t="s">
        <v>350</v>
      </c>
      <c r="V7" s="37" t="s">
        <v>350</v>
      </c>
      <c r="W7" s="37" t="s">
        <v>240</v>
      </c>
      <c r="X7" s="38" t="s">
        <v>240</v>
      </c>
      <c r="Y7" s="38" t="s">
        <v>240</v>
      </c>
      <c r="Z7" s="37" t="s">
        <v>350</v>
      </c>
      <c r="AA7" s="37" t="s">
        <v>350</v>
      </c>
      <c r="AB7" s="37" t="s">
        <v>240</v>
      </c>
      <c r="AC7" s="37" t="s">
        <v>240</v>
      </c>
      <c r="AD7" s="37" t="s">
        <v>350</v>
      </c>
      <c r="AE7" s="38" t="s">
        <v>350</v>
      </c>
      <c r="AF7" s="38" t="s">
        <v>350</v>
      </c>
      <c r="AG7" s="24" t="n">
        <v>11</v>
      </c>
      <c r="AH7" s="34" t="n">
        <f aca="false">(COUNTIF(E7:AF7,"E")*CONFIG!$B$9+COUNTIF(E7:AF7,"L")*CONFIG!$B$10+COUNTIF(E7:AF7,"EL")*CONFIG!$B$11+COUNTIF(E7:AF7,"N")*CONFIG!$B$12+COUNTIF(E7:AF7,"OC-E")*CONFIG!$B$9+COUNTIF(E7:AF7,"OC-L")*CONFIG!$B$10+COUNTIF(E7:AF7,"OC-EL")*CONFIG!$B$11+COUNTIF(E7:AF7,"OC-N")*CONFIG!$B$12+COUNTIF(E7:AF7,"ADM")*CONFIG!$B$9+COUNTIF(E7:AF7,"TRN")*CONFIG!$B$9+COUNTIF(E7:AF7,"BH-D")*CONFIG!$B$11+COUNTIF(E7:AF7,"BH-N")*CONFIG!$B$12)</f>
        <v>171.5</v>
      </c>
      <c r="AI7" s="34" t="n">
        <f aca="false">AH7*AG7</f>
        <v>1886.5</v>
      </c>
      <c r="AJ7" s="34" t="n">
        <f aca="false">(COUNTIF(E7:AF7,"OC-E")*CONFIG!$B$9+COUNTIF(E7:AF7,"OC-L")*CONFIG!$B$10+COUNTIF(E7:AF7,"OC-EL")*CONFIG!$B$11+COUNTIF(E7:AF7,"OC-N")*CONFIG!$B$12+COUNTIF(E7:AF7,"OT")*CONFIG!$B$9)</f>
        <v>0</v>
      </c>
      <c r="AK7" s="34" t="n">
        <f aca="false">AJ7*CONFIG!$B$28</f>
        <v>0</v>
      </c>
      <c r="AL7" s="34" t="n">
        <f aca="false">(COUNTIF(E7:K7,"E")+COUNTIF(E7:K7,"L")+COUNTIF(E7:K7,"OC-E")+COUNTIF(E7:K7,"OC-L"))*6+(COUNTIF(E7:K7,"EL")+COUNTIF(E7:K7,"OC-EL")+COUNTIF(E7:K7,"BH-D"))*12.25+(COUNTIF(E7:K7,"N")+COUNTIF(E7:K7,"OC-N")+COUNTIF(E7:K7,"BH-N"))*12.25</f>
        <v>61.25</v>
      </c>
      <c r="AM7" s="34" t="n">
        <f aca="false">(COUNTIF(L7:R7,"E")+COUNTIF(L7:R7,"L")+COUNTIF(L7:R7,"OC-E")+COUNTIF(L7:R7,"OC-L"))*6+(COUNTIF(L7:R7,"EL")+COUNTIF(L7:R7,"OC-EL")+COUNTIF(L7:R7,"BH-D"))*12.25+(COUNTIF(L7:R7,"N")+COUNTIF(L7:R7,"OC-N")+COUNTIF(L7:R7,"BH-N"))*12.25</f>
        <v>24.5</v>
      </c>
      <c r="AN7" s="34" t="str">
        <f aca="false">IF(AL7&lt;AM7,"Short W1",IF(AM7&lt;AL7,"Short W2","Balanced"))</f>
        <v>Short W2</v>
      </c>
      <c r="AO7" s="1" t="n">
        <f aca="false">(COUNTIF(E7:AF7,"BH-D")*CONFIG!$B$11*AG7*(CONFIG!$B$46-1)+COUNTIF(E7:AF7,"BH-N")*CONFIG!$B$12*AG7*(CONFIG!$B$46-1))</f>
        <v>0</v>
      </c>
      <c r="AP7" s="1" t="n">
        <f aca="false">AH7/4</f>
        <v>42.875</v>
      </c>
      <c r="AQ7" s="1" t="str">
        <f aca="false">IF(AP7&gt;48,"⚠️ &gt;48hr WTR BREACH",IF(AP7&gt;44,"🟡 HIGH","✅ OK"))</f>
        <v>✅ OK</v>
      </c>
    </row>
    <row r="8" customFormat="false" ht="15" hidden="false" customHeight="true" outlineLevel="0" collapsed="false">
      <c r="A8" s="1" t="s">
        <v>249</v>
      </c>
      <c r="B8" s="1" t="s">
        <v>239</v>
      </c>
      <c r="C8" s="1" t="s">
        <v>240</v>
      </c>
      <c r="D8" s="1" t="n">
        <v>1.5</v>
      </c>
      <c r="E8" s="37" t="s">
        <v>240</v>
      </c>
      <c r="F8" s="37" t="s">
        <v>240</v>
      </c>
      <c r="G8" s="37" t="s">
        <v>350</v>
      </c>
      <c r="H8" s="37" t="s">
        <v>350</v>
      </c>
      <c r="I8" s="37" t="s">
        <v>240</v>
      </c>
      <c r="J8" s="38" t="s">
        <v>240</v>
      </c>
      <c r="K8" s="38" t="s">
        <v>240</v>
      </c>
      <c r="L8" s="37" t="s">
        <v>350</v>
      </c>
      <c r="M8" s="37" t="s">
        <v>350</v>
      </c>
      <c r="N8" s="37" t="s">
        <v>240</v>
      </c>
      <c r="O8" s="37" t="s">
        <v>240</v>
      </c>
      <c r="P8" s="37" t="s">
        <v>350</v>
      </c>
      <c r="Q8" s="38" t="s">
        <v>350</v>
      </c>
      <c r="R8" s="38" t="s">
        <v>350</v>
      </c>
      <c r="S8" s="37" t="s">
        <v>240</v>
      </c>
      <c r="T8" s="37" t="s">
        <v>240</v>
      </c>
      <c r="U8" s="37" t="s">
        <v>350</v>
      </c>
      <c r="V8" s="37" t="s">
        <v>350</v>
      </c>
      <c r="W8" s="37" t="s">
        <v>240</v>
      </c>
      <c r="X8" s="38" t="s">
        <v>240</v>
      </c>
      <c r="Y8" s="38" t="s">
        <v>240</v>
      </c>
      <c r="Z8" s="37" t="s">
        <v>350</v>
      </c>
      <c r="AA8" s="37" t="s">
        <v>350</v>
      </c>
      <c r="AB8" s="37" t="s">
        <v>240</v>
      </c>
      <c r="AC8" s="37" t="s">
        <v>240</v>
      </c>
      <c r="AD8" s="37" t="s">
        <v>350</v>
      </c>
      <c r="AE8" s="38" t="s">
        <v>350</v>
      </c>
      <c r="AF8" s="38" t="s">
        <v>350</v>
      </c>
      <c r="AG8" s="24" t="n">
        <v>14</v>
      </c>
      <c r="AH8" s="34" t="n">
        <f aca="false">(COUNTIF(E8:AF8,"E")*CONFIG!$B$9+COUNTIF(E8:AF8,"L")*CONFIG!$B$10+COUNTIF(E8:AF8,"EL")*CONFIG!$B$11+COUNTIF(E8:AF8,"N")*CONFIG!$B$12+COUNTIF(E8:AF8,"OC-E")*CONFIG!$B$9+COUNTIF(E8:AF8,"OC-L")*CONFIG!$B$10+COUNTIF(E8:AF8,"OC-EL")*CONFIG!$B$11+COUNTIF(E8:AF8,"OC-N")*CONFIG!$B$12+COUNTIF(E8:AF8,"ADM")*CONFIG!$B$9+COUNTIF(E8:AF8,"TRN")*CONFIG!$B$9+COUNTIF(E8:AF8,"BH-D")*CONFIG!$B$11+COUNTIF(E8:AF8,"BH-N")*CONFIG!$B$12)</f>
        <v>171.5</v>
      </c>
      <c r="AI8" s="34" t="n">
        <f aca="false">AH8*AG8</f>
        <v>2401</v>
      </c>
      <c r="AJ8" s="34" t="n">
        <f aca="false">(COUNTIF(E8:AF8,"OC-E")*CONFIG!$B$9+COUNTIF(E8:AF8,"OC-L")*CONFIG!$B$10+COUNTIF(E8:AF8,"OC-EL")*CONFIG!$B$11+COUNTIF(E8:AF8,"OC-N")*CONFIG!$B$12+COUNTIF(E8:AF8,"OT")*CONFIG!$B$9)</f>
        <v>0</v>
      </c>
      <c r="AK8" s="34" t="n">
        <f aca="false">AJ8*CONFIG!$B$28</f>
        <v>0</v>
      </c>
      <c r="AL8" s="34" t="n">
        <f aca="false">(COUNTIF(E8:K8,"E")+COUNTIF(E8:K8,"L")+COUNTIF(E8:K8,"OC-E")+COUNTIF(E8:K8,"OC-L"))*6+(COUNTIF(E8:K8,"EL")+COUNTIF(E8:K8,"OC-EL")+COUNTIF(E8:K8,"BH-D"))*12.25+(COUNTIF(E8:K8,"N")+COUNTIF(E8:K8,"OC-N")+COUNTIF(E8:K8,"BH-N"))*12.25</f>
        <v>61.25</v>
      </c>
      <c r="AM8" s="34" t="n">
        <f aca="false">(COUNTIF(L8:R8,"E")+COUNTIF(L8:R8,"L")+COUNTIF(L8:R8,"OC-E")+COUNTIF(L8:R8,"OC-L"))*6+(COUNTIF(L8:R8,"EL")+COUNTIF(L8:R8,"OC-EL")+COUNTIF(L8:R8,"BH-D"))*12.25+(COUNTIF(L8:R8,"N")+COUNTIF(L8:R8,"OC-N")+COUNTIF(L8:R8,"BH-N"))*12.25</f>
        <v>24.5</v>
      </c>
      <c r="AN8" s="34" t="str">
        <f aca="false">IF(AL8&lt;AM8,"Short W1",IF(AM8&lt;AL8,"Short W2","Balanced"))</f>
        <v>Short W2</v>
      </c>
      <c r="AO8" s="1" t="n">
        <f aca="false">(COUNTIF(E8:AF8,"BH-D")*CONFIG!$B$11*AG8*(CONFIG!$B$46-1)+COUNTIF(E8:AF8,"BH-N")*CONFIG!$B$12*AG8*(CONFIG!$B$46-1))</f>
        <v>0</v>
      </c>
      <c r="AP8" s="1" t="n">
        <f aca="false">AH8/4</f>
        <v>42.875</v>
      </c>
      <c r="AQ8" s="1" t="str">
        <f aca="false">IF(AP8&gt;48,"⚠️ &gt;48hr WTR BREACH",IF(AP8&gt;44,"🟡 HIGH","✅ OK"))</f>
        <v>✅ OK</v>
      </c>
    </row>
    <row r="9" customFormat="false" ht="15" hidden="false" customHeight="true" outlineLevel="0" collapsed="false">
      <c r="A9" s="1" t="s">
        <v>252</v>
      </c>
      <c r="B9" s="1" t="s">
        <v>239</v>
      </c>
      <c r="C9" s="1" t="s">
        <v>240</v>
      </c>
      <c r="D9" s="1" t="n">
        <v>0.5</v>
      </c>
      <c r="E9" s="37" t="s">
        <v>240</v>
      </c>
      <c r="F9" s="37" t="s">
        <v>240</v>
      </c>
      <c r="G9" s="37" t="s">
        <v>350</v>
      </c>
      <c r="H9" s="37" t="s">
        <v>350</v>
      </c>
      <c r="I9" s="37" t="s">
        <v>240</v>
      </c>
      <c r="J9" s="38" t="s">
        <v>240</v>
      </c>
      <c r="K9" s="38" t="s">
        <v>240</v>
      </c>
      <c r="L9" s="37" t="s">
        <v>350</v>
      </c>
      <c r="M9" s="37" t="s">
        <v>350</v>
      </c>
      <c r="N9" s="37" t="s">
        <v>240</v>
      </c>
      <c r="O9" s="37" t="s">
        <v>240</v>
      </c>
      <c r="P9" s="37" t="s">
        <v>350</v>
      </c>
      <c r="Q9" s="38" t="s">
        <v>350</v>
      </c>
      <c r="R9" s="38" t="s">
        <v>350</v>
      </c>
      <c r="S9" s="37" t="s">
        <v>240</v>
      </c>
      <c r="T9" s="37" t="s">
        <v>240</v>
      </c>
      <c r="U9" s="37" t="s">
        <v>350</v>
      </c>
      <c r="V9" s="37" t="s">
        <v>350</v>
      </c>
      <c r="W9" s="37" t="s">
        <v>240</v>
      </c>
      <c r="X9" s="38" t="s">
        <v>240</v>
      </c>
      <c r="Y9" s="38" t="s">
        <v>240</v>
      </c>
      <c r="Z9" s="37" t="s">
        <v>350</v>
      </c>
      <c r="AA9" s="37" t="s">
        <v>350</v>
      </c>
      <c r="AB9" s="37" t="s">
        <v>240</v>
      </c>
      <c r="AC9" s="37" t="s">
        <v>240</v>
      </c>
      <c r="AD9" s="37" t="s">
        <v>350</v>
      </c>
      <c r="AE9" s="38" t="s">
        <v>350</v>
      </c>
      <c r="AF9" s="38" t="s">
        <v>350</v>
      </c>
      <c r="AG9" s="24" t="n">
        <v>11</v>
      </c>
      <c r="AH9" s="34" t="n">
        <f aca="false">(COUNTIF(E9:AF9,"E")*CONFIG!$B$9+COUNTIF(E9:AF9,"L")*CONFIG!$B$10+COUNTIF(E9:AF9,"EL")*CONFIG!$B$11+COUNTIF(E9:AF9,"N")*CONFIG!$B$12+COUNTIF(E9:AF9,"OC-E")*CONFIG!$B$9+COUNTIF(E9:AF9,"OC-L")*CONFIG!$B$10+COUNTIF(E9:AF9,"OC-EL")*CONFIG!$B$11+COUNTIF(E9:AF9,"OC-N")*CONFIG!$B$12+COUNTIF(E9:AF9,"ADM")*CONFIG!$B$9+COUNTIF(E9:AF9,"TRN")*CONFIG!$B$9+COUNTIF(E9:AF9,"BH-D")*CONFIG!$B$11+COUNTIF(E9:AF9,"BH-N")*CONFIG!$B$12)</f>
        <v>171.5</v>
      </c>
      <c r="AI9" s="34" t="n">
        <f aca="false">AH9*AG9</f>
        <v>1886.5</v>
      </c>
      <c r="AJ9" s="34" t="n">
        <f aca="false">(COUNTIF(E9:AF9,"OC-E")*CONFIG!$B$9+COUNTIF(E9:AF9,"OC-L")*CONFIG!$B$10+COUNTIF(E9:AF9,"OC-EL")*CONFIG!$B$11+COUNTIF(E9:AF9,"OC-N")*CONFIG!$B$12+COUNTIF(E9:AF9,"OT")*CONFIG!$B$9)</f>
        <v>0</v>
      </c>
      <c r="AK9" s="34" t="n">
        <f aca="false">AJ9*CONFIG!$B$28</f>
        <v>0</v>
      </c>
      <c r="AL9" s="34" t="n">
        <f aca="false">(COUNTIF(E9:K9,"E")+COUNTIF(E9:K9,"L")+COUNTIF(E9:K9,"OC-E")+COUNTIF(E9:K9,"OC-L"))*6+(COUNTIF(E9:K9,"EL")+COUNTIF(E9:K9,"OC-EL")+COUNTIF(E9:K9,"BH-D"))*12.25+(COUNTIF(E9:K9,"N")+COUNTIF(E9:K9,"OC-N")+COUNTIF(E9:K9,"BH-N"))*12.25</f>
        <v>61.25</v>
      </c>
      <c r="AM9" s="34" t="n">
        <f aca="false">(COUNTIF(L9:R9,"E")+COUNTIF(L9:R9,"L")+COUNTIF(L9:R9,"OC-E")+COUNTIF(L9:R9,"OC-L"))*6+(COUNTIF(L9:R9,"EL")+COUNTIF(L9:R9,"OC-EL")+COUNTIF(L9:R9,"BH-D"))*12.25+(COUNTIF(L9:R9,"N")+COUNTIF(L9:R9,"OC-N")+COUNTIF(L9:R9,"BH-N"))*12.25</f>
        <v>24.5</v>
      </c>
      <c r="AN9" s="34" t="str">
        <f aca="false">IF(AL9&lt;AM9,"Short W1",IF(AM9&lt;AL9,"Short W2","Balanced"))</f>
        <v>Short W2</v>
      </c>
      <c r="AO9" s="1" t="n">
        <f aca="false">(COUNTIF(E9:AF9,"BH-D")*CONFIG!$B$11*AG9*(CONFIG!$B$46-1)+COUNTIF(E9:AF9,"BH-N")*CONFIG!$B$12*AG9*(CONFIG!$B$46-1))</f>
        <v>0</v>
      </c>
      <c r="AP9" s="1" t="n">
        <f aca="false">AH9/4</f>
        <v>42.875</v>
      </c>
      <c r="AQ9" s="1" t="str">
        <f aca="false">IF(AP9&gt;48,"⚠️ &gt;48hr WTR BREACH",IF(AP9&gt;44,"🟡 HIGH","✅ OK"))</f>
        <v>✅ OK</v>
      </c>
    </row>
    <row r="10" customFormat="false" ht="15" hidden="false" customHeight="true" outlineLevel="0" collapsed="false">
      <c r="A10" s="1" t="s">
        <v>254</v>
      </c>
      <c r="B10" s="1" t="s">
        <v>239</v>
      </c>
      <c r="C10" s="1" t="s">
        <v>240</v>
      </c>
      <c r="D10" s="1" t="n">
        <v>1</v>
      </c>
      <c r="E10" s="37" t="s">
        <v>240</v>
      </c>
      <c r="F10" s="37" t="s">
        <v>240</v>
      </c>
      <c r="G10" s="37" t="s">
        <v>350</v>
      </c>
      <c r="H10" s="37" t="s">
        <v>350</v>
      </c>
      <c r="I10" s="37" t="s">
        <v>240</v>
      </c>
      <c r="J10" s="38" t="s">
        <v>240</v>
      </c>
      <c r="K10" s="38" t="s">
        <v>240</v>
      </c>
      <c r="L10" s="37" t="s">
        <v>350</v>
      </c>
      <c r="M10" s="37" t="s">
        <v>350</v>
      </c>
      <c r="N10" s="37" t="s">
        <v>240</v>
      </c>
      <c r="O10" s="37" t="s">
        <v>240</v>
      </c>
      <c r="P10" s="37" t="s">
        <v>350</v>
      </c>
      <c r="Q10" s="38" t="s">
        <v>350</v>
      </c>
      <c r="R10" s="38" t="s">
        <v>350</v>
      </c>
      <c r="S10" s="37" t="s">
        <v>240</v>
      </c>
      <c r="T10" s="37" t="s">
        <v>240</v>
      </c>
      <c r="U10" s="37" t="s">
        <v>350</v>
      </c>
      <c r="V10" s="37" t="s">
        <v>350</v>
      </c>
      <c r="W10" s="37" t="s">
        <v>240</v>
      </c>
      <c r="X10" s="38" t="s">
        <v>240</v>
      </c>
      <c r="Y10" s="38" t="s">
        <v>240</v>
      </c>
      <c r="Z10" s="37" t="s">
        <v>350</v>
      </c>
      <c r="AA10" s="37" t="s">
        <v>350</v>
      </c>
      <c r="AB10" s="37" t="s">
        <v>240</v>
      </c>
      <c r="AC10" s="37" t="s">
        <v>240</v>
      </c>
      <c r="AD10" s="37" t="s">
        <v>350</v>
      </c>
      <c r="AE10" s="38" t="s">
        <v>350</v>
      </c>
      <c r="AF10" s="38" t="s">
        <v>350</v>
      </c>
      <c r="AG10" s="24" t="n">
        <v>12.5</v>
      </c>
      <c r="AH10" s="34" t="n">
        <f aca="false">(COUNTIF(E10:AF10,"E")*CONFIG!$B$9+COUNTIF(E10:AF10,"L")*CONFIG!$B$10+COUNTIF(E10:AF10,"EL")*CONFIG!$B$11+COUNTIF(E10:AF10,"N")*CONFIG!$B$12+COUNTIF(E10:AF10,"OC-E")*CONFIG!$B$9+COUNTIF(E10:AF10,"OC-L")*CONFIG!$B$10+COUNTIF(E10:AF10,"OC-EL")*CONFIG!$B$11+COUNTIF(E10:AF10,"OC-N")*CONFIG!$B$12+COUNTIF(E10:AF10,"ADM")*CONFIG!$B$9+COUNTIF(E10:AF10,"TRN")*CONFIG!$B$9+COUNTIF(E10:AF10,"BH-D")*CONFIG!$B$11+COUNTIF(E10:AF10,"BH-N")*CONFIG!$B$12)</f>
        <v>171.5</v>
      </c>
      <c r="AI10" s="34" t="n">
        <f aca="false">AH10*AG10</f>
        <v>2143.75</v>
      </c>
      <c r="AJ10" s="34" t="n">
        <f aca="false">(COUNTIF(E10:AF10,"OC-E")*CONFIG!$B$9+COUNTIF(E10:AF10,"OC-L")*CONFIG!$B$10+COUNTIF(E10:AF10,"OC-EL")*CONFIG!$B$11+COUNTIF(E10:AF10,"OC-N")*CONFIG!$B$12+COUNTIF(E10:AF10,"OT")*CONFIG!$B$9)</f>
        <v>0</v>
      </c>
      <c r="AK10" s="34" t="n">
        <f aca="false">AJ10*CONFIG!$B$28</f>
        <v>0</v>
      </c>
      <c r="AL10" s="34" t="n">
        <f aca="false">(COUNTIF(E10:K10,"E")+COUNTIF(E10:K10,"L")+COUNTIF(E10:K10,"OC-E")+COUNTIF(E10:K10,"OC-L"))*6+(COUNTIF(E10:K10,"EL")+COUNTIF(E10:K10,"OC-EL")+COUNTIF(E10:K10,"BH-D"))*12.25+(COUNTIF(E10:K10,"N")+COUNTIF(E10:K10,"OC-N")+COUNTIF(E10:K10,"BH-N"))*12.25</f>
        <v>61.25</v>
      </c>
      <c r="AM10" s="34" t="n">
        <f aca="false">(COUNTIF(L10:R10,"E")+COUNTIF(L10:R10,"L")+COUNTIF(L10:R10,"OC-E")+COUNTIF(L10:R10,"OC-L"))*6+(COUNTIF(L10:R10,"EL")+COUNTIF(L10:R10,"OC-EL")+COUNTIF(L10:R10,"BH-D"))*12.25+(COUNTIF(L10:R10,"N")+COUNTIF(L10:R10,"OC-N")+COUNTIF(L10:R10,"BH-N"))*12.25</f>
        <v>24.5</v>
      </c>
      <c r="AN10" s="34" t="str">
        <f aca="false">IF(AL10&lt;AM10,"Short W1",IF(AM10&lt;AL10,"Short W2","Balanced"))</f>
        <v>Short W2</v>
      </c>
      <c r="AO10" s="1" t="n">
        <f aca="false">(COUNTIF(E10:AF10,"BH-D")*CONFIG!$B$11*AG10*(CONFIG!$B$46-1)+COUNTIF(E10:AF10,"BH-N")*CONFIG!$B$12*AG10*(CONFIG!$B$46-1))</f>
        <v>0</v>
      </c>
      <c r="AP10" s="1" t="n">
        <f aca="false">AH10/4</f>
        <v>42.875</v>
      </c>
      <c r="AQ10" s="1" t="str">
        <f aca="false">IF(AP10&gt;48,"⚠️ &gt;48hr WTR BREACH",IF(AP10&gt;44,"🟡 HIGH","✅ OK"))</f>
        <v>✅ OK</v>
      </c>
    </row>
    <row r="11" customFormat="false" ht="15" hidden="false" customHeight="true" outlineLevel="0" collapsed="false">
      <c r="A11" s="1" t="s">
        <v>256</v>
      </c>
      <c r="B11" s="1" t="s">
        <v>257</v>
      </c>
      <c r="C11" s="1" t="s">
        <v>240</v>
      </c>
      <c r="D11" s="1" t="n">
        <v>1</v>
      </c>
      <c r="E11" s="37" t="s">
        <v>350</v>
      </c>
      <c r="F11" s="37" t="s">
        <v>350</v>
      </c>
      <c r="G11" s="37" t="s">
        <v>240</v>
      </c>
      <c r="H11" s="37" t="s">
        <v>240</v>
      </c>
      <c r="I11" s="37" t="s">
        <v>350</v>
      </c>
      <c r="J11" s="38" t="s">
        <v>350</v>
      </c>
      <c r="K11" s="38" t="s">
        <v>350</v>
      </c>
      <c r="L11" s="37" t="s">
        <v>240</v>
      </c>
      <c r="M11" s="37" t="s">
        <v>240</v>
      </c>
      <c r="N11" s="37" t="s">
        <v>350</v>
      </c>
      <c r="O11" s="37" t="s">
        <v>350</v>
      </c>
      <c r="P11" s="37" t="s">
        <v>240</v>
      </c>
      <c r="Q11" s="38" t="s">
        <v>240</v>
      </c>
      <c r="R11" s="38" t="s">
        <v>240</v>
      </c>
      <c r="S11" s="37" t="s">
        <v>350</v>
      </c>
      <c r="T11" s="37" t="s">
        <v>350</v>
      </c>
      <c r="U11" s="37" t="s">
        <v>240</v>
      </c>
      <c r="V11" s="37" t="s">
        <v>240</v>
      </c>
      <c r="W11" s="37" t="s">
        <v>350</v>
      </c>
      <c r="X11" s="38" t="s">
        <v>350</v>
      </c>
      <c r="Y11" s="38" t="s">
        <v>350</v>
      </c>
      <c r="Z11" s="37" t="s">
        <v>240</v>
      </c>
      <c r="AA11" s="37" t="s">
        <v>240</v>
      </c>
      <c r="AB11" s="37" t="s">
        <v>350</v>
      </c>
      <c r="AC11" s="37" t="s">
        <v>350</v>
      </c>
      <c r="AD11" s="37" t="s">
        <v>240</v>
      </c>
      <c r="AE11" s="38" t="s">
        <v>240</v>
      </c>
      <c r="AF11" s="38" t="s">
        <v>240</v>
      </c>
      <c r="AG11" s="24" t="n">
        <v>12.5</v>
      </c>
      <c r="AH11" s="34" t="n">
        <f aca="false">(COUNTIF(E11:AF11,"E")*CONFIG!$B$9+COUNTIF(E11:AF11,"L")*CONFIG!$B$10+COUNTIF(E11:AF11,"EL")*CONFIG!$B$11+COUNTIF(E11:AF11,"N")*CONFIG!$B$12+COUNTIF(E11:AF11,"OC-E")*CONFIG!$B$9+COUNTIF(E11:AF11,"OC-L")*CONFIG!$B$10+COUNTIF(E11:AF11,"OC-EL")*CONFIG!$B$11+COUNTIF(E11:AF11,"OC-N")*CONFIG!$B$12+COUNTIF(E11:AF11,"ADM")*CONFIG!$B$9+COUNTIF(E11:AF11,"TRN")*CONFIG!$B$9+COUNTIF(E11:AF11,"BH-D")*CONFIG!$B$11+COUNTIF(E11:AF11,"BH-N")*CONFIG!$B$12)</f>
        <v>171.5</v>
      </c>
      <c r="AI11" s="34" t="n">
        <f aca="false">AH11*AG11</f>
        <v>2143.75</v>
      </c>
      <c r="AJ11" s="34" t="n">
        <f aca="false">(COUNTIF(E11:AF11,"OC-E")*CONFIG!$B$9+COUNTIF(E11:AF11,"OC-L")*CONFIG!$B$10+COUNTIF(E11:AF11,"OC-EL")*CONFIG!$B$11+COUNTIF(E11:AF11,"OC-N")*CONFIG!$B$12+COUNTIF(E11:AF11,"OT")*CONFIG!$B$9)</f>
        <v>0</v>
      </c>
      <c r="AK11" s="34" t="n">
        <f aca="false">AJ11*CONFIG!$B$28</f>
        <v>0</v>
      </c>
      <c r="AL11" s="34" t="n">
        <f aca="false">(COUNTIF(E11:K11,"E")+COUNTIF(E11:K11,"L")+COUNTIF(E11:K11,"OC-E")+COUNTIF(E11:K11,"OC-L"))*6+(COUNTIF(E11:K11,"EL")+COUNTIF(E11:K11,"OC-EL")+COUNTIF(E11:K11,"BH-D"))*12.25+(COUNTIF(E11:K11,"N")+COUNTIF(E11:K11,"OC-N")+COUNTIF(E11:K11,"BH-N"))*12.25</f>
        <v>24.5</v>
      </c>
      <c r="AM11" s="34" t="n">
        <f aca="false">(COUNTIF(L11:R11,"E")+COUNTIF(L11:R11,"L")+COUNTIF(L11:R11,"OC-E")+COUNTIF(L11:R11,"OC-L"))*6+(COUNTIF(L11:R11,"EL")+COUNTIF(L11:R11,"OC-EL")+COUNTIF(L11:R11,"BH-D"))*12.25+(COUNTIF(L11:R11,"N")+COUNTIF(L11:R11,"OC-N")+COUNTIF(L11:R11,"BH-N"))*12.25</f>
        <v>61.25</v>
      </c>
      <c r="AN11" s="34" t="str">
        <f aca="false">IF(AL11&lt;AM11,"Short W1",IF(AM11&lt;AL11,"Short W2","Balanced"))</f>
        <v>Short W1</v>
      </c>
      <c r="AO11" s="1" t="n">
        <f aca="false">(COUNTIF(E11:AF11,"BH-D")*CONFIG!$B$11*AG11*(CONFIG!$B$46-1)+COUNTIF(E11:AF11,"BH-N")*CONFIG!$B$12*AG11*(CONFIG!$B$46-1))</f>
        <v>0</v>
      </c>
      <c r="AP11" s="1" t="n">
        <f aca="false">AH11/4</f>
        <v>42.875</v>
      </c>
      <c r="AQ11" s="1" t="str">
        <f aca="false">IF(AP11&gt;48,"⚠️ &gt;48hr WTR BREACH",IF(AP11&gt;44,"🟡 HIGH","✅ OK"))</f>
        <v>✅ OK</v>
      </c>
    </row>
    <row r="12" customFormat="false" ht="15" hidden="false" customHeight="true" outlineLevel="0" collapsed="false">
      <c r="A12" s="1" t="s">
        <v>259</v>
      </c>
      <c r="B12" s="1" t="s">
        <v>257</v>
      </c>
      <c r="C12" s="1" t="s">
        <v>240</v>
      </c>
      <c r="D12" s="1" t="n">
        <v>0.5</v>
      </c>
      <c r="E12" s="37" t="s">
        <v>350</v>
      </c>
      <c r="F12" s="37" t="s">
        <v>350</v>
      </c>
      <c r="G12" s="37" t="s">
        <v>240</v>
      </c>
      <c r="H12" s="37" t="s">
        <v>240</v>
      </c>
      <c r="I12" s="37" t="s">
        <v>350</v>
      </c>
      <c r="J12" s="38" t="s">
        <v>350</v>
      </c>
      <c r="K12" s="38" t="s">
        <v>350</v>
      </c>
      <c r="L12" s="37" t="s">
        <v>240</v>
      </c>
      <c r="M12" s="37" t="s">
        <v>240</v>
      </c>
      <c r="N12" s="37" t="s">
        <v>350</v>
      </c>
      <c r="O12" s="37" t="s">
        <v>350</v>
      </c>
      <c r="P12" s="37" t="s">
        <v>240</v>
      </c>
      <c r="Q12" s="38" t="s">
        <v>240</v>
      </c>
      <c r="R12" s="38" t="s">
        <v>240</v>
      </c>
      <c r="S12" s="37" t="s">
        <v>350</v>
      </c>
      <c r="T12" s="37" t="s">
        <v>350</v>
      </c>
      <c r="U12" s="37" t="s">
        <v>240</v>
      </c>
      <c r="V12" s="37" t="s">
        <v>240</v>
      </c>
      <c r="W12" s="37" t="s">
        <v>350</v>
      </c>
      <c r="X12" s="38" t="s">
        <v>350</v>
      </c>
      <c r="Y12" s="38" t="s">
        <v>350</v>
      </c>
      <c r="Z12" s="37" t="s">
        <v>240</v>
      </c>
      <c r="AA12" s="37" t="s">
        <v>240</v>
      </c>
      <c r="AB12" s="37" t="s">
        <v>350</v>
      </c>
      <c r="AC12" s="37" t="s">
        <v>350</v>
      </c>
      <c r="AD12" s="37" t="s">
        <v>240</v>
      </c>
      <c r="AE12" s="38" t="s">
        <v>240</v>
      </c>
      <c r="AF12" s="38" t="s">
        <v>240</v>
      </c>
      <c r="AG12" s="24" t="n">
        <v>11</v>
      </c>
      <c r="AH12" s="34" t="n">
        <f aca="false">(COUNTIF(E12:AF12,"E")*CONFIG!$B$9+COUNTIF(E12:AF12,"L")*CONFIG!$B$10+COUNTIF(E12:AF12,"EL")*CONFIG!$B$11+COUNTIF(E12:AF12,"N")*CONFIG!$B$12+COUNTIF(E12:AF12,"OC-E")*CONFIG!$B$9+COUNTIF(E12:AF12,"OC-L")*CONFIG!$B$10+COUNTIF(E12:AF12,"OC-EL")*CONFIG!$B$11+COUNTIF(E12:AF12,"OC-N")*CONFIG!$B$12+COUNTIF(E12:AF12,"ADM")*CONFIG!$B$9+COUNTIF(E12:AF12,"TRN")*CONFIG!$B$9+COUNTIF(E12:AF12,"BH-D")*CONFIG!$B$11+COUNTIF(E12:AF12,"BH-N")*CONFIG!$B$12)</f>
        <v>171.5</v>
      </c>
      <c r="AI12" s="34" t="n">
        <f aca="false">AH12*AG12</f>
        <v>1886.5</v>
      </c>
      <c r="AJ12" s="34" t="n">
        <f aca="false">(COUNTIF(E12:AF12,"OC-E")*CONFIG!$B$9+COUNTIF(E12:AF12,"OC-L")*CONFIG!$B$10+COUNTIF(E12:AF12,"OC-EL")*CONFIG!$B$11+COUNTIF(E12:AF12,"OC-N")*CONFIG!$B$12+COUNTIF(E12:AF12,"OT")*CONFIG!$B$9)</f>
        <v>0</v>
      </c>
      <c r="AK12" s="34" t="n">
        <f aca="false">AJ12*CONFIG!$B$28</f>
        <v>0</v>
      </c>
      <c r="AL12" s="34" t="n">
        <f aca="false">(COUNTIF(E12:K12,"E")+COUNTIF(E12:K12,"L")+COUNTIF(E12:K12,"OC-E")+COUNTIF(E12:K12,"OC-L"))*6+(COUNTIF(E12:K12,"EL")+COUNTIF(E12:K12,"OC-EL")+COUNTIF(E12:K12,"BH-D"))*12.25+(COUNTIF(E12:K12,"N")+COUNTIF(E12:K12,"OC-N")+COUNTIF(E12:K12,"BH-N"))*12.25</f>
        <v>24.5</v>
      </c>
      <c r="AM12" s="34" t="n">
        <f aca="false">(COUNTIF(L12:R12,"E")+COUNTIF(L12:R12,"L")+COUNTIF(L12:R12,"OC-E")+COUNTIF(L12:R12,"OC-L"))*6+(COUNTIF(L12:R12,"EL")+COUNTIF(L12:R12,"OC-EL")+COUNTIF(L12:R12,"BH-D"))*12.25+(COUNTIF(L12:R12,"N")+COUNTIF(L12:R12,"OC-N")+COUNTIF(L12:R12,"BH-N"))*12.25</f>
        <v>61.25</v>
      </c>
      <c r="AN12" s="34" t="str">
        <f aca="false">IF(AL12&lt;AM12,"Short W1",IF(AM12&lt;AL12,"Short W2","Balanced"))</f>
        <v>Short W1</v>
      </c>
      <c r="AO12" s="1" t="n">
        <f aca="false">(COUNTIF(E12:AF12,"BH-D")*CONFIG!$B$11*AG12*(CONFIG!$B$46-1)+COUNTIF(E12:AF12,"BH-N")*CONFIG!$B$12*AG12*(CONFIG!$B$46-1))</f>
        <v>0</v>
      </c>
      <c r="AP12" s="1" t="n">
        <f aca="false">AH12/4</f>
        <v>42.875</v>
      </c>
      <c r="AQ12" s="1" t="str">
        <f aca="false">IF(AP12&gt;48,"⚠️ &gt;48hr WTR BREACH",IF(AP12&gt;44,"🟡 HIGH","✅ OK"))</f>
        <v>✅ OK</v>
      </c>
    </row>
    <row r="13" customFormat="false" ht="15" hidden="false" customHeight="true" outlineLevel="0" collapsed="false">
      <c r="A13" s="1" t="s">
        <v>261</v>
      </c>
      <c r="B13" s="1" t="s">
        <v>257</v>
      </c>
      <c r="C13" s="1" t="s">
        <v>240</v>
      </c>
      <c r="D13" s="1" t="n">
        <v>1</v>
      </c>
      <c r="E13" s="37" t="s">
        <v>350</v>
      </c>
      <c r="F13" s="37" t="s">
        <v>350</v>
      </c>
      <c r="G13" s="37" t="s">
        <v>240</v>
      </c>
      <c r="H13" s="37" t="s">
        <v>240</v>
      </c>
      <c r="I13" s="37" t="s">
        <v>350</v>
      </c>
      <c r="J13" s="38" t="s">
        <v>350</v>
      </c>
      <c r="K13" s="38" t="s">
        <v>350</v>
      </c>
      <c r="L13" s="37" t="s">
        <v>240</v>
      </c>
      <c r="M13" s="37" t="s">
        <v>240</v>
      </c>
      <c r="N13" s="37" t="s">
        <v>350</v>
      </c>
      <c r="O13" s="37" t="s">
        <v>350</v>
      </c>
      <c r="P13" s="37" t="s">
        <v>240</v>
      </c>
      <c r="Q13" s="38" t="s">
        <v>240</v>
      </c>
      <c r="R13" s="38" t="s">
        <v>240</v>
      </c>
      <c r="S13" s="37" t="s">
        <v>350</v>
      </c>
      <c r="T13" s="37" t="s">
        <v>350</v>
      </c>
      <c r="U13" s="37" t="s">
        <v>240</v>
      </c>
      <c r="V13" s="37" t="s">
        <v>240</v>
      </c>
      <c r="W13" s="37" t="s">
        <v>350</v>
      </c>
      <c r="X13" s="38" t="s">
        <v>350</v>
      </c>
      <c r="Y13" s="38" t="s">
        <v>350</v>
      </c>
      <c r="Z13" s="37" t="s">
        <v>240</v>
      </c>
      <c r="AA13" s="37" t="s">
        <v>240</v>
      </c>
      <c r="AB13" s="37" t="s">
        <v>350</v>
      </c>
      <c r="AC13" s="37" t="s">
        <v>350</v>
      </c>
      <c r="AD13" s="37" t="s">
        <v>240</v>
      </c>
      <c r="AE13" s="38" t="s">
        <v>240</v>
      </c>
      <c r="AF13" s="38" t="s">
        <v>240</v>
      </c>
      <c r="AG13" s="24" t="n">
        <v>12.5</v>
      </c>
      <c r="AH13" s="34" t="n">
        <f aca="false">(COUNTIF(E13:AF13,"E")*CONFIG!$B$9+COUNTIF(E13:AF13,"L")*CONFIG!$B$10+COUNTIF(E13:AF13,"EL")*CONFIG!$B$11+COUNTIF(E13:AF13,"N")*CONFIG!$B$12+COUNTIF(E13:AF13,"OC-E")*CONFIG!$B$9+COUNTIF(E13:AF13,"OC-L")*CONFIG!$B$10+COUNTIF(E13:AF13,"OC-EL")*CONFIG!$B$11+COUNTIF(E13:AF13,"OC-N")*CONFIG!$B$12+COUNTIF(E13:AF13,"ADM")*CONFIG!$B$9+COUNTIF(E13:AF13,"TRN")*CONFIG!$B$9+COUNTIF(E13:AF13,"BH-D")*CONFIG!$B$11+COUNTIF(E13:AF13,"BH-N")*CONFIG!$B$12)</f>
        <v>171.5</v>
      </c>
      <c r="AI13" s="34" t="n">
        <f aca="false">AH13*AG13</f>
        <v>2143.75</v>
      </c>
      <c r="AJ13" s="34" t="n">
        <f aca="false">(COUNTIF(E13:AF13,"OC-E")*CONFIG!$B$9+COUNTIF(E13:AF13,"OC-L")*CONFIG!$B$10+COUNTIF(E13:AF13,"OC-EL")*CONFIG!$B$11+COUNTIF(E13:AF13,"OC-N")*CONFIG!$B$12+COUNTIF(E13:AF13,"OT")*CONFIG!$B$9)</f>
        <v>0</v>
      </c>
      <c r="AK13" s="34" t="n">
        <f aca="false">AJ13*CONFIG!$B$28</f>
        <v>0</v>
      </c>
      <c r="AL13" s="34" t="n">
        <f aca="false">(COUNTIF(E13:K13,"E")+COUNTIF(E13:K13,"L")+COUNTIF(E13:K13,"OC-E")+COUNTIF(E13:K13,"OC-L"))*6+(COUNTIF(E13:K13,"EL")+COUNTIF(E13:K13,"OC-EL")+COUNTIF(E13:K13,"BH-D"))*12.25+(COUNTIF(E13:K13,"N")+COUNTIF(E13:K13,"OC-N")+COUNTIF(E13:K13,"BH-N"))*12.25</f>
        <v>24.5</v>
      </c>
      <c r="AM13" s="34" t="n">
        <f aca="false">(COUNTIF(L13:R13,"E")+COUNTIF(L13:R13,"L")+COUNTIF(L13:R13,"OC-E")+COUNTIF(L13:R13,"OC-L"))*6+(COUNTIF(L13:R13,"EL")+COUNTIF(L13:R13,"OC-EL")+COUNTIF(L13:R13,"BH-D"))*12.25+(COUNTIF(L13:R13,"N")+COUNTIF(L13:R13,"OC-N")+COUNTIF(L13:R13,"BH-N"))*12.25</f>
        <v>61.25</v>
      </c>
      <c r="AN13" s="34" t="str">
        <f aca="false">IF(AL13&lt;AM13,"Short W1",IF(AM13&lt;AL13,"Short W2","Balanced"))</f>
        <v>Short W1</v>
      </c>
      <c r="AO13" s="1" t="n">
        <f aca="false">(COUNTIF(E13:AF13,"BH-D")*CONFIG!$B$11*AG13*(CONFIG!$B$46-1)+COUNTIF(E13:AF13,"BH-N")*CONFIG!$B$12*AG13*(CONFIG!$B$46-1))</f>
        <v>0</v>
      </c>
      <c r="AP13" s="1" t="n">
        <f aca="false">AH13/4</f>
        <v>42.875</v>
      </c>
      <c r="AQ13" s="1" t="str">
        <f aca="false">IF(AP13&gt;48,"⚠️ &gt;48hr WTR BREACH",IF(AP13&gt;44,"🟡 HIGH","✅ OK"))</f>
        <v>✅ OK</v>
      </c>
    </row>
    <row r="14" customFormat="false" ht="15" hidden="false" customHeight="true" outlineLevel="0" collapsed="false">
      <c r="A14" s="1" t="s">
        <v>263</v>
      </c>
      <c r="B14" s="1" t="s">
        <v>257</v>
      </c>
      <c r="C14" s="1" t="s">
        <v>240</v>
      </c>
      <c r="D14" s="1" t="n">
        <v>0.5</v>
      </c>
      <c r="E14" s="37" t="s">
        <v>350</v>
      </c>
      <c r="F14" s="37" t="s">
        <v>350</v>
      </c>
      <c r="G14" s="37" t="s">
        <v>240</v>
      </c>
      <c r="H14" s="37" t="s">
        <v>240</v>
      </c>
      <c r="I14" s="37" t="s">
        <v>350</v>
      </c>
      <c r="J14" s="38" t="s">
        <v>350</v>
      </c>
      <c r="K14" s="38" t="s">
        <v>350</v>
      </c>
      <c r="L14" s="37" t="s">
        <v>240</v>
      </c>
      <c r="M14" s="37" t="s">
        <v>240</v>
      </c>
      <c r="N14" s="37" t="s">
        <v>350</v>
      </c>
      <c r="O14" s="37" t="s">
        <v>350</v>
      </c>
      <c r="P14" s="37" t="s">
        <v>240</v>
      </c>
      <c r="Q14" s="38" t="s">
        <v>240</v>
      </c>
      <c r="R14" s="38" t="s">
        <v>240</v>
      </c>
      <c r="S14" s="37" t="s">
        <v>350</v>
      </c>
      <c r="T14" s="37" t="s">
        <v>350</v>
      </c>
      <c r="U14" s="37" t="s">
        <v>240</v>
      </c>
      <c r="V14" s="37" t="s">
        <v>240</v>
      </c>
      <c r="W14" s="37" t="s">
        <v>350</v>
      </c>
      <c r="X14" s="38" t="s">
        <v>350</v>
      </c>
      <c r="Y14" s="38" t="s">
        <v>350</v>
      </c>
      <c r="Z14" s="37" t="s">
        <v>240</v>
      </c>
      <c r="AA14" s="37" t="s">
        <v>240</v>
      </c>
      <c r="AB14" s="37" t="s">
        <v>350</v>
      </c>
      <c r="AC14" s="37" t="s">
        <v>350</v>
      </c>
      <c r="AD14" s="37" t="s">
        <v>240</v>
      </c>
      <c r="AE14" s="38" t="s">
        <v>240</v>
      </c>
      <c r="AF14" s="38" t="s">
        <v>240</v>
      </c>
      <c r="AG14" s="24" t="n">
        <v>11</v>
      </c>
      <c r="AH14" s="34" t="n">
        <f aca="false">(COUNTIF(E14:AF14,"E")*CONFIG!$B$9+COUNTIF(E14:AF14,"L")*CONFIG!$B$10+COUNTIF(E14:AF14,"EL")*CONFIG!$B$11+COUNTIF(E14:AF14,"N")*CONFIG!$B$12+COUNTIF(E14:AF14,"OC-E")*CONFIG!$B$9+COUNTIF(E14:AF14,"OC-L")*CONFIG!$B$10+COUNTIF(E14:AF14,"OC-EL")*CONFIG!$B$11+COUNTIF(E14:AF14,"OC-N")*CONFIG!$B$12+COUNTIF(E14:AF14,"ADM")*CONFIG!$B$9+COUNTIF(E14:AF14,"TRN")*CONFIG!$B$9+COUNTIF(E14:AF14,"BH-D")*CONFIG!$B$11+COUNTIF(E14:AF14,"BH-N")*CONFIG!$B$12)</f>
        <v>171.5</v>
      </c>
      <c r="AI14" s="34" t="n">
        <f aca="false">AH14*AG14</f>
        <v>1886.5</v>
      </c>
      <c r="AJ14" s="34" t="n">
        <f aca="false">(COUNTIF(E14:AF14,"OC-E")*CONFIG!$B$9+COUNTIF(E14:AF14,"OC-L")*CONFIG!$B$10+COUNTIF(E14:AF14,"OC-EL")*CONFIG!$B$11+COUNTIF(E14:AF14,"OC-N")*CONFIG!$B$12+COUNTIF(E14:AF14,"OT")*CONFIG!$B$9)</f>
        <v>0</v>
      </c>
      <c r="AK14" s="34" t="n">
        <f aca="false">AJ14*CONFIG!$B$28</f>
        <v>0</v>
      </c>
      <c r="AL14" s="34" t="n">
        <f aca="false">(COUNTIF(E14:K14,"E")+COUNTIF(E14:K14,"L")+COUNTIF(E14:K14,"OC-E")+COUNTIF(E14:K14,"OC-L"))*6+(COUNTIF(E14:K14,"EL")+COUNTIF(E14:K14,"OC-EL")+COUNTIF(E14:K14,"BH-D"))*12.25+(COUNTIF(E14:K14,"N")+COUNTIF(E14:K14,"OC-N")+COUNTIF(E14:K14,"BH-N"))*12.25</f>
        <v>24.5</v>
      </c>
      <c r="AM14" s="34" t="n">
        <f aca="false">(COUNTIF(L14:R14,"E")+COUNTIF(L14:R14,"L")+COUNTIF(L14:R14,"OC-E")+COUNTIF(L14:R14,"OC-L"))*6+(COUNTIF(L14:R14,"EL")+COUNTIF(L14:R14,"OC-EL")+COUNTIF(L14:R14,"BH-D"))*12.25+(COUNTIF(L14:R14,"N")+COUNTIF(L14:R14,"OC-N")+COUNTIF(L14:R14,"BH-N"))*12.25</f>
        <v>61.25</v>
      </c>
      <c r="AN14" s="34" t="str">
        <f aca="false">IF(AL14&lt;AM14,"Short W1",IF(AM14&lt;AL14,"Short W2","Balanced"))</f>
        <v>Short W1</v>
      </c>
      <c r="AO14" s="1" t="n">
        <f aca="false">(COUNTIF(E14:AF14,"BH-D")*CONFIG!$B$11*AG14*(CONFIG!$B$46-1)+COUNTIF(E14:AF14,"BH-N")*CONFIG!$B$12*AG14*(CONFIG!$B$46-1))</f>
        <v>0</v>
      </c>
      <c r="AP14" s="1" t="n">
        <f aca="false">AH14/4</f>
        <v>42.875</v>
      </c>
      <c r="AQ14" s="1" t="str">
        <f aca="false">IF(AP14&gt;48,"⚠️ &gt;48hr WTR BREACH",IF(AP14&gt;44,"🟡 HIGH","✅ OK"))</f>
        <v>✅ OK</v>
      </c>
    </row>
    <row r="15" customFormat="false" ht="15" hidden="false" customHeight="true" outlineLevel="0" collapsed="false">
      <c r="A15" s="1" t="s">
        <v>265</v>
      </c>
      <c r="B15" s="1" t="s">
        <v>257</v>
      </c>
      <c r="C15" s="1" t="s">
        <v>240</v>
      </c>
      <c r="D15" s="1" t="n">
        <v>1.5</v>
      </c>
      <c r="E15" s="37" t="s">
        <v>350</v>
      </c>
      <c r="F15" s="37" t="s">
        <v>350</v>
      </c>
      <c r="G15" s="37" t="s">
        <v>240</v>
      </c>
      <c r="H15" s="37" t="s">
        <v>240</v>
      </c>
      <c r="I15" s="37" t="s">
        <v>350</v>
      </c>
      <c r="J15" s="38" t="s">
        <v>350</v>
      </c>
      <c r="K15" s="38" t="s">
        <v>350</v>
      </c>
      <c r="L15" s="37" t="s">
        <v>240</v>
      </c>
      <c r="M15" s="37" t="s">
        <v>240</v>
      </c>
      <c r="N15" s="37" t="s">
        <v>350</v>
      </c>
      <c r="O15" s="37" t="s">
        <v>350</v>
      </c>
      <c r="P15" s="37" t="s">
        <v>240</v>
      </c>
      <c r="Q15" s="38" t="s">
        <v>240</v>
      </c>
      <c r="R15" s="38" t="s">
        <v>240</v>
      </c>
      <c r="S15" s="37" t="s">
        <v>350</v>
      </c>
      <c r="T15" s="37" t="s">
        <v>350</v>
      </c>
      <c r="U15" s="37" t="s">
        <v>240</v>
      </c>
      <c r="V15" s="37" t="s">
        <v>240</v>
      </c>
      <c r="W15" s="37" t="s">
        <v>350</v>
      </c>
      <c r="X15" s="38" t="s">
        <v>350</v>
      </c>
      <c r="Y15" s="38" t="s">
        <v>350</v>
      </c>
      <c r="Z15" s="37" t="s">
        <v>240</v>
      </c>
      <c r="AA15" s="37" t="s">
        <v>240</v>
      </c>
      <c r="AB15" s="37" t="s">
        <v>350</v>
      </c>
      <c r="AC15" s="37" t="s">
        <v>350</v>
      </c>
      <c r="AD15" s="37" t="s">
        <v>240</v>
      </c>
      <c r="AE15" s="38" t="s">
        <v>240</v>
      </c>
      <c r="AF15" s="38" t="s">
        <v>240</v>
      </c>
      <c r="AG15" s="24" t="n">
        <v>14</v>
      </c>
      <c r="AH15" s="34" t="n">
        <f aca="false">(COUNTIF(E15:AF15,"E")*CONFIG!$B$9+COUNTIF(E15:AF15,"L")*CONFIG!$B$10+COUNTIF(E15:AF15,"EL")*CONFIG!$B$11+COUNTIF(E15:AF15,"N")*CONFIG!$B$12+COUNTIF(E15:AF15,"OC-E")*CONFIG!$B$9+COUNTIF(E15:AF15,"OC-L")*CONFIG!$B$10+COUNTIF(E15:AF15,"OC-EL")*CONFIG!$B$11+COUNTIF(E15:AF15,"OC-N")*CONFIG!$B$12+COUNTIF(E15:AF15,"ADM")*CONFIG!$B$9+COUNTIF(E15:AF15,"TRN")*CONFIG!$B$9+COUNTIF(E15:AF15,"BH-D")*CONFIG!$B$11+COUNTIF(E15:AF15,"BH-N")*CONFIG!$B$12)</f>
        <v>171.5</v>
      </c>
      <c r="AI15" s="34" t="n">
        <f aca="false">AH15*AG15</f>
        <v>2401</v>
      </c>
      <c r="AJ15" s="34" t="n">
        <f aca="false">(COUNTIF(E15:AF15,"OC-E")*CONFIG!$B$9+COUNTIF(E15:AF15,"OC-L")*CONFIG!$B$10+COUNTIF(E15:AF15,"OC-EL")*CONFIG!$B$11+COUNTIF(E15:AF15,"OC-N")*CONFIG!$B$12+COUNTIF(E15:AF15,"OT")*CONFIG!$B$9)</f>
        <v>0</v>
      </c>
      <c r="AK15" s="34" t="n">
        <f aca="false">AJ15*CONFIG!$B$28</f>
        <v>0</v>
      </c>
      <c r="AL15" s="34" t="n">
        <f aca="false">(COUNTIF(E15:K15,"E")+COUNTIF(E15:K15,"L")+COUNTIF(E15:K15,"OC-E")+COUNTIF(E15:K15,"OC-L"))*6+(COUNTIF(E15:K15,"EL")+COUNTIF(E15:K15,"OC-EL")+COUNTIF(E15:K15,"BH-D"))*12.25+(COUNTIF(E15:K15,"N")+COUNTIF(E15:K15,"OC-N")+COUNTIF(E15:K15,"BH-N"))*12.25</f>
        <v>24.5</v>
      </c>
      <c r="AM15" s="34" t="n">
        <f aca="false">(COUNTIF(L15:R15,"E")+COUNTIF(L15:R15,"L")+COUNTIF(L15:R15,"OC-E")+COUNTIF(L15:R15,"OC-L"))*6+(COUNTIF(L15:R15,"EL")+COUNTIF(L15:R15,"OC-EL")+COUNTIF(L15:R15,"BH-D"))*12.25+(COUNTIF(L15:R15,"N")+COUNTIF(L15:R15,"OC-N")+COUNTIF(L15:R15,"BH-N"))*12.25</f>
        <v>61.25</v>
      </c>
      <c r="AN15" s="34" t="str">
        <f aca="false">IF(AL15&lt;AM15,"Short W1",IF(AM15&lt;AL15,"Short W2","Balanced"))</f>
        <v>Short W1</v>
      </c>
      <c r="AO15" s="1" t="n">
        <f aca="false">(COUNTIF(E15:AF15,"BH-D")*CONFIG!$B$11*AG15*(CONFIG!$B$46-1)+COUNTIF(E15:AF15,"BH-N")*CONFIG!$B$12*AG15*(CONFIG!$B$46-1))</f>
        <v>0</v>
      </c>
      <c r="AP15" s="1" t="n">
        <f aca="false">AH15/4</f>
        <v>42.875</v>
      </c>
      <c r="AQ15" s="1" t="str">
        <f aca="false">IF(AP15&gt;48,"⚠️ &gt;48hr WTR BREACH",IF(AP15&gt;44,"🟡 HIGH","✅ OK"))</f>
        <v>✅ OK</v>
      </c>
    </row>
    <row r="16" customFormat="false" ht="15" hidden="false" customHeight="true" outlineLevel="0" collapsed="false">
      <c r="A16" s="1" t="s">
        <v>267</v>
      </c>
      <c r="B16" s="1" t="s">
        <v>257</v>
      </c>
      <c r="C16" s="1" t="s">
        <v>240</v>
      </c>
      <c r="D16" s="1" t="n">
        <v>0.5</v>
      </c>
      <c r="E16" s="37" t="s">
        <v>350</v>
      </c>
      <c r="F16" s="37" t="s">
        <v>350</v>
      </c>
      <c r="G16" s="37" t="s">
        <v>240</v>
      </c>
      <c r="H16" s="37" t="s">
        <v>240</v>
      </c>
      <c r="I16" s="37" t="s">
        <v>350</v>
      </c>
      <c r="J16" s="38" t="s">
        <v>350</v>
      </c>
      <c r="K16" s="38" t="s">
        <v>350</v>
      </c>
      <c r="L16" s="37" t="s">
        <v>240</v>
      </c>
      <c r="M16" s="37" t="s">
        <v>240</v>
      </c>
      <c r="N16" s="37" t="s">
        <v>350</v>
      </c>
      <c r="O16" s="37" t="s">
        <v>350</v>
      </c>
      <c r="P16" s="37" t="s">
        <v>240</v>
      </c>
      <c r="Q16" s="38" t="s">
        <v>240</v>
      </c>
      <c r="R16" s="38" t="s">
        <v>240</v>
      </c>
      <c r="S16" s="37" t="s">
        <v>350</v>
      </c>
      <c r="T16" s="37" t="s">
        <v>350</v>
      </c>
      <c r="U16" s="37" t="s">
        <v>240</v>
      </c>
      <c r="V16" s="37" t="s">
        <v>240</v>
      </c>
      <c r="W16" s="37" t="s">
        <v>350</v>
      </c>
      <c r="X16" s="38" t="s">
        <v>350</v>
      </c>
      <c r="Y16" s="38" t="s">
        <v>350</v>
      </c>
      <c r="Z16" s="37" t="s">
        <v>240</v>
      </c>
      <c r="AA16" s="37" t="s">
        <v>240</v>
      </c>
      <c r="AB16" s="37" t="s">
        <v>350</v>
      </c>
      <c r="AC16" s="37" t="s">
        <v>350</v>
      </c>
      <c r="AD16" s="37" t="s">
        <v>240</v>
      </c>
      <c r="AE16" s="38" t="s">
        <v>240</v>
      </c>
      <c r="AF16" s="38" t="s">
        <v>240</v>
      </c>
      <c r="AG16" s="24" t="n">
        <v>11</v>
      </c>
      <c r="AH16" s="34" t="n">
        <f aca="false">(COUNTIF(E16:AF16,"E")*CONFIG!$B$9+COUNTIF(E16:AF16,"L")*CONFIG!$B$10+COUNTIF(E16:AF16,"EL")*CONFIG!$B$11+COUNTIF(E16:AF16,"N")*CONFIG!$B$12+COUNTIF(E16:AF16,"OC-E")*CONFIG!$B$9+COUNTIF(E16:AF16,"OC-L")*CONFIG!$B$10+COUNTIF(E16:AF16,"OC-EL")*CONFIG!$B$11+COUNTIF(E16:AF16,"OC-N")*CONFIG!$B$12+COUNTIF(E16:AF16,"ADM")*CONFIG!$B$9+COUNTIF(E16:AF16,"TRN")*CONFIG!$B$9+COUNTIF(E16:AF16,"BH-D")*CONFIG!$B$11+COUNTIF(E16:AF16,"BH-N")*CONFIG!$B$12)</f>
        <v>171.5</v>
      </c>
      <c r="AI16" s="34" t="n">
        <f aca="false">AH16*AG16</f>
        <v>1886.5</v>
      </c>
      <c r="AJ16" s="34" t="n">
        <f aca="false">(COUNTIF(E16:AF16,"OC-E")*CONFIG!$B$9+COUNTIF(E16:AF16,"OC-L")*CONFIG!$B$10+COUNTIF(E16:AF16,"OC-EL")*CONFIG!$B$11+COUNTIF(E16:AF16,"OC-N")*CONFIG!$B$12+COUNTIF(E16:AF16,"OT")*CONFIG!$B$9)</f>
        <v>0</v>
      </c>
      <c r="AK16" s="34" t="n">
        <f aca="false">AJ16*CONFIG!$B$28</f>
        <v>0</v>
      </c>
      <c r="AL16" s="34" t="n">
        <f aca="false">(COUNTIF(E16:K16,"E")+COUNTIF(E16:K16,"L")+COUNTIF(E16:K16,"OC-E")+COUNTIF(E16:K16,"OC-L"))*6+(COUNTIF(E16:K16,"EL")+COUNTIF(E16:K16,"OC-EL")+COUNTIF(E16:K16,"BH-D"))*12.25+(COUNTIF(E16:K16,"N")+COUNTIF(E16:K16,"OC-N")+COUNTIF(E16:K16,"BH-N"))*12.25</f>
        <v>24.5</v>
      </c>
      <c r="AM16" s="34" t="n">
        <f aca="false">(COUNTIF(L16:R16,"E")+COUNTIF(L16:R16,"L")+COUNTIF(L16:R16,"OC-E")+COUNTIF(L16:R16,"OC-L"))*6+(COUNTIF(L16:R16,"EL")+COUNTIF(L16:R16,"OC-EL")+COUNTIF(L16:R16,"BH-D"))*12.25+(COUNTIF(L16:R16,"N")+COUNTIF(L16:R16,"OC-N")+COUNTIF(L16:R16,"BH-N"))*12.25</f>
        <v>61.25</v>
      </c>
      <c r="AN16" s="34" t="str">
        <f aca="false">IF(AL16&lt;AM16,"Short W1",IF(AM16&lt;AL16,"Short W2","Balanced"))</f>
        <v>Short W1</v>
      </c>
      <c r="AO16" s="1" t="n">
        <f aca="false">(COUNTIF(E16:AF16,"BH-D")*CONFIG!$B$11*AG16*(CONFIG!$B$46-1)+COUNTIF(E16:AF16,"BH-N")*CONFIG!$B$12*AG16*(CONFIG!$B$46-1))</f>
        <v>0</v>
      </c>
      <c r="AP16" s="1" t="n">
        <f aca="false">AH16/4</f>
        <v>42.875</v>
      </c>
      <c r="AQ16" s="1" t="str">
        <f aca="false">IF(AP16&gt;48,"⚠️ &gt;48hr WTR BREACH",IF(AP16&gt;44,"🟡 HIGH","✅ OK"))</f>
        <v>✅ OK</v>
      </c>
    </row>
    <row r="17" customFormat="false" ht="15" hidden="false" customHeight="true" outlineLevel="0" collapsed="false">
      <c r="A17" s="1" t="s">
        <v>269</v>
      </c>
      <c r="B17" s="1" t="s">
        <v>257</v>
      </c>
      <c r="C17" s="1" t="s">
        <v>240</v>
      </c>
      <c r="D17" s="1" t="n">
        <v>1</v>
      </c>
      <c r="E17" s="37" t="s">
        <v>350</v>
      </c>
      <c r="F17" s="37" t="s">
        <v>350</v>
      </c>
      <c r="G17" s="37" t="s">
        <v>240</v>
      </c>
      <c r="H17" s="37" t="s">
        <v>240</v>
      </c>
      <c r="I17" s="37" t="s">
        <v>350</v>
      </c>
      <c r="J17" s="38" t="s">
        <v>350</v>
      </c>
      <c r="K17" s="38" t="s">
        <v>350</v>
      </c>
      <c r="L17" s="37" t="s">
        <v>240</v>
      </c>
      <c r="M17" s="37" t="s">
        <v>240</v>
      </c>
      <c r="N17" s="37" t="s">
        <v>350</v>
      </c>
      <c r="O17" s="37" t="s">
        <v>350</v>
      </c>
      <c r="P17" s="37" t="s">
        <v>240</v>
      </c>
      <c r="Q17" s="38" t="s">
        <v>240</v>
      </c>
      <c r="R17" s="38" t="s">
        <v>240</v>
      </c>
      <c r="S17" s="37" t="s">
        <v>350</v>
      </c>
      <c r="T17" s="37" t="s">
        <v>350</v>
      </c>
      <c r="U17" s="37" t="s">
        <v>240</v>
      </c>
      <c r="V17" s="37" t="s">
        <v>240</v>
      </c>
      <c r="W17" s="37" t="s">
        <v>350</v>
      </c>
      <c r="X17" s="38" t="s">
        <v>350</v>
      </c>
      <c r="Y17" s="38" t="s">
        <v>350</v>
      </c>
      <c r="Z17" s="37" t="s">
        <v>240</v>
      </c>
      <c r="AA17" s="37" t="s">
        <v>240</v>
      </c>
      <c r="AB17" s="37" t="s">
        <v>350</v>
      </c>
      <c r="AC17" s="37" t="s">
        <v>350</v>
      </c>
      <c r="AD17" s="37" t="s">
        <v>240</v>
      </c>
      <c r="AE17" s="38" t="s">
        <v>240</v>
      </c>
      <c r="AF17" s="38" t="s">
        <v>240</v>
      </c>
      <c r="AG17" s="24" t="n">
        <v>12.5</v>
      </c>
      <c r="AH17" s="34" t="n">
        <f aca="false">(COUNTIF(E17:AF17,"E")*CONFIG!$B$9+COUNTIF(E17:AF17,"L")*CONFIG!$B$10+COUNTIF(E17:AF17,"EL")*CONFIG!$B$11+COUNTIF(E17:AF17,"N")*CONFIG!$B$12+COUNTIF(E17:AF17,"OC-E")*CONFIG!$B$9+COUNTIF(E17:AF17,"OC-L")*CONFIG!$B$10+COUNTIF(E17:AF17,"OC-EL")*CONFIG!$B$11+COUNTIF(E17:AF17,"OC-N")*CONFIG!$B$12+COUNTIF(E17:AF17,"ADM")*CONFIG!$B$9+COUNTIF(E17:AF17,"TRN")*CONFIG!$B$9+COUNTIF(E17:AF17,"BH-D")*CONFIG!$B$11+COUNTIF(E17:AF17,"BH-N")*CONFIG!$B$12)</f>
        <v>171.5</v>
      </c>
      <c r="AI17" s="34" t="n">
        <f aca="false">AH17*AG17</f>
        <v>2143.75</v>
      </c>
      <c r="AJ17" s="34" t="n">
        <f aca="false">(COUNTIF(E17:AF17,"OC-E")*CONFIG!$B$9+COUNTIF(E17:AF17,"OC-L")*CONFIG!$B$10+COUNTIF(E17:AF17,"OC-EL")*CONFIG!$B$11+COUNTIF(E17:AF17,"OC-N")*CONFIG!$B$12+COUNTIF(E17:AF17,"OT")*CONFIG!$B$9)</f>
        <v>0</v>
      </c>
      <c r="AK17" s="34" t="n">
        <f aca="false">AJ17*CONFIG!$B$28</f>
        <v>0</v>
      </c>
      <c r="AL17" s="34" t="n">
        <f aca="false">(COUNTIF(E17:K17,"E")+COUNTIF(E17:K17,"L")+COUNTIF(E17:K17,"OC-E")+COUNTIF(E17:K17,"OC-L"))*6+(COUNTIF(E17:K17,"EL")+COUNTIF(E17:K17,"OC-EL")+COUNTIF(E17:K17,"BH-D"))*12.25+(COUNTIF(E17:K17,"N")+COUNTIF(E17:K17,"OC-N")+COUNTIF(E17:K17,"BH-N"))*12.25</f>
        <v>24.5</v>
      </c>
      <c r="AM17" s="34" t="n">
        <f aca="false">(COUNTIF(L17:R17,"E")+COUNTIF(L17:R17,"L")+COUNTIF(L17:R17,"OC-E")+COUNTIF(L17:R17,"OC-L"))*6+(COUNTIF(L17:R17,"EL")+COUNTIF(L17:R17,"OC-EL")+COUNTIF(L17:R17,"BH-D"))*12.25+(COUNTIF(L17:R17,"N")+COUNTIF(L17:R17,"OC-N")+COUNTIF(L17:R17,"BH-N"))*12.25</f>
        <v>61.25</v>
      </c>
      <c r="AN17" s="34" t="str">
        <f aca="false">IF(AL17&lt;AM17,"Short W1",IF(AM17&lt;AL17,"Short W2","Balanced"))</f>
        <v>Short W1</v>
      </c>
      <c r="AO17" s="1" t="n">
        <f aca="false">(COUNTIF(E17:AF17,"BH-D")*CONFIG!$B$11*AG17*(CONFIG!$B$46-1)+COUNTIF(E17:AF17,"BH-N")*CONFIG!$B$12*AG17*(CONFIG!$B$46-1))</f>
        <v>0</v>
      </c>
      <c r="AP17" s="1" t="n">
        <f aca="false">AH17/4</f>
        <v>42.875</v>
      </c>
      <c r="AQ17" s="1" t="str">
        <f aca="false">IF(AP17&gt;48,"⚠️ &gt;48hr WTR BREACH",IF(AP17&gt;44,"🟡 HIGH","✅ OK"))</f>
        <v>✅ OK</v>
      </c>
    </row>
    <row r="18" customFormat="false" ht="15" hidden="false" customHeight="true" outlineLevel="0" collapsed="false">
      <c r="A18" s="1" t="s">
        <v>271</v>
      </c>
      <c r="B18" s="1" t="s">
        <v>273</v>
      </c>
      <c r="C18" s="1" t="s">
        <v>274</v>
      </c>
      <c r="D18" s="1" t="n">
        <v>1</v>
      </c>
      <c r="E18" s="39" t="s">
        <v>274</v>
      </c>
      <c r="F18" s="39" t="s">
        <v>274</v>
      </c>
      <c r="G18" s="37" t="s">
        <v>350</v>
      </c>
      <c r="H18" s="37" t="s">
        <v>350</v>
      </c>
      <c r="I18" s="39" t="s">
        <v>274</v>
      </c>
      <c r="J18" s="39" t="s">
        <v>274</v>
      </c>
      <c r="K18" s="39" t="s">
        <v>274</v>
      </c>
      <c r="L18" s="37" t="s">
        <v>350</v>
      </c>
      <c r="M18" s="37" t="s">
        <v>350</v>
      </c>
      <c r="N18" s="39" t="s">
        <v>274</v>
      </c>
      <c r="O18" s="39" t="s">
        <v>274</v>
      </c>
      <c r="P18" s="37" t="s">
        <v>350</v>
      </c>
      <c r="Q18" s="38" t="s">
        <v>350</v>
      </c>
      <c r="R18" s="38" t="s">
        <v>350</v>
      </c>
      <c r="S18" s="39" t="s">
        <v>274</v>
      </c>
      <c r="T18" s="39" t="s">
        <v>274</v>
      </c>
      <c r="U18" s="37" t="s">
        <v>350</v>
      </c>
      <c r="V18" s="37" t="s">
        <v>350</v>
      </c>
      <c r="W18" s="39" t="s">
        <v>274</v>
      </c>
      <c r="X18" s="39" t="s">
        <v>274</v>
      </c>
      <c r="Y18" s="39" t="s">
        <v>274</v>
      </c>
      <c r="Z18" s="37" t="s">
        <v>350</v>
      </c>
      <c r="AA18" s="37" t="s">
        <v>350</v>
      </c>
      <c r="AB18" s="39" t="s">
        <v>274</v>
      </c>
      <c r="AC18" s="39" t="s">
        <v>274</v>
      </c>
      <c r="AD18" s="37" t="s">
        <v>350</v>
      </c>
      <c r="AE18" s="38" t="s">
        <v>350</v>
      </c>
      <c r="AF18" s="38" t="s">
        <v>350</v>
      </c>
      <c r="AG18" s="24" t="n">
        <v>13</v>
      </c>
      <c r="AH18" s="34" t="n">
        <f aca="false">(COUNTIF(E18:AF18,"E")*CONFIG!$B$9+COUNTIF(E18:AF18,"L")*CONFIG!$B$10+COUNTIF(E18:AF18,"EL")*CONFIG!$B$11+COUNTIF(E18:AF18,"N")*CONFIG!$B$12+COUNTIF(E18:AF18,"OC-E")*CONFIG!$B$9+COUNTIF(E18:AF18,"OC-L")*CONFIG!$B$10+COUNTIF(E18:AF18,"OC-EL")*CONFIG!$B$11+COUNTIF(E18:AF18,"OC-N")*CONFIG!$B$12+COUNTIF(E18:AF18,"ADM")*CONFIG!$B$9+COUNTIF(E18:AF18,"TRN")*CONFIG!$B$9+COUNTIF(E18:AF18,"BH-D")*CONFIG!$B$11+COUNTIF(E18:AF18,"BH-N")*CONFIG!$B$12)</f>
        <v>171.5</v>
      </c>
      <c r="AI18" s="34" t="n">
        <f aca="false">AH18*AG18</f>
        <v>2229.5</v>
      </c>
      <c r="AJ18" s="34" t="n">
        <f aca="false">(COUNTIF(E18:AF18,"OC-E")*CONFIG!$B$9+COUNTIF(E18:AF18,"OC-L")*CONFIG!$B$10+COUNTIF(E18:AF18,"OC-EL")*CONFIG!$B$11+COUNTIF(E18:AF18,"OC-N")*CONFIG!$B$12+COUNTIF(E18:AF18,"OT")*CONFIG!$B$9)</f>
        <v>0</v>
      </c>
      <c r="AK18" s="34" t="n">
        <f aca="false">AJ18*CONFIG!$B$28</f>
        <v>0</v>
      </c>
      <c r="AL18" s="34" t="n">
        <f aca="false">(COUNTIF(E18:K18,"E")+COUNTIF(E18:K18,"L")+COUNTIF(E18:K18,"OC-E")+COUNTIF(E18:K18,"OC-L"))*6+(COUNTIF(E18:K18,"EL")+COUNTIF(E18:K18,"OC-EL")+COUNTIF(E18:K18,"BH-D"))*12.25+(COUNTIF(E18:K18,"N")+COUNTIF(E18:K18,"OC-N")+COUNTIF(E18:K18,"BH-N"))*12.25</f>
        <v>61.25</v>
      </c>
      <c r="AM18" s="34" t="n">
        <f aca="false">(COUNTIF(L18:R18,"E")+COUNTIF(L18:R18,"L")+COUNTIF(L18:R18,"OC-E")+COUNTIF(L18:R18,"OC-L"))*6+(COUNTIF(L18:R18,"EL")+COUNTIF(L18:R18,"OC-EL")+COUNTIF(L18:R18,"BH-D"))*12.25+(COUNTIF(L18:R18,"N")+COUNTIF(L18:R18,"OC-N")+COUNTIF(L18:R18,"BH-N"))*12.25</f>
        <v>24.5</v>
      </c>
      <c r="AN18" s="34" t="str">
        <f aca="false">IF(AL18&lt;AM18,"Short W1",IF(AM18&lt;AL18,"Short W2","Balanced"))</f>
        <v>Short W2</v>
      </c>
      <c r="AO18" s="1" t="n">
        <f aca="false">(COUNTIF(E18:AF18,"BH-D")*CONFIG!$B$11*AG18*(CONFIG!$B$46-1)+COUNTIF(E18:AF18,"BH-N")*CONFIG!$B$12*AG18*(CONFIG!$B$46-1))</f>
        <v>0</v>
      </c>
      <c r="AP18" s="1" t="n">
        <f aca="false">AH18/4</f>
        <v>42.875</v>
      </c>
      <c r="AQ18" s="1" t="str">
        <f aca="false">IF(AP18&gt;48,"⚠️ &gt;48hr WTR BREACH",IF(AP18&gt;44,"🟡 HIGH","✅ OK"))</f>
        <v>✅ OK</v>
      </c>
    </row>
    <row r="19" customFormat="false" ht="15" hidden="false" customHeight="true" outlineLevel="0" collapsed="false">
      <c r="A19" s="1" t="s">
        <v>276</v>
      </c>
      <c r="B19" s="1" t="s">
        <v>273</v>
      </c>
      <c r="C19" s="1" t="s">
        <v>274</v>
      </c>
      <c r="D19" s="1" t="n">
        <v>0.5</v>
      </c>
      <c r="E19" s="39" t="s">
        <v>274</v>
      </c>
      <c r="F19" s="39" t="s">
        <v>274</v>
      </c>
      <c r="G19" s="37" t="s">
        <v>350</v>
      </c>
      <c r="H19" s="37" t="s">
        <v>350</v>
      </c>
      <c r="I19" s="39" t="s">
        <v>274</v>
      </c>
      <c r="J19" s="39" t="s">
        <v>274</v>
      </c>
      <c r="K19" s="39" t="s">
        <v>274</v>
      </c>
      <c r="L19" s="37" t="s">
        <v>350</v>
      </c>
      <c r="M19" s="37" t="s">
        <v>350</v>
      </c>
      <c r="N19" s="39" t="s">
        <v>274</v>
      </c>
      <c r="O19" s="39" t="s">
        <v>274</v>
      </c>
      <c r="P19" s="37" t="s">
        <v>350</v>
      </c>
      <c r="Q19" s="38" t="s">
        <v>350</v>
      </c>
      <c r="R19" s="38" t="s">
        <v>350</v>
      </c>
      <c r="S19" s="39" t="s">
        <v>274</v>
      </c>
      <c r="T19" s="39" t="s">
        <v>274</v>
      </c>
      <c r="U19" s="37" t="s">
        <v>350</v>
      </c>
      <c r="V19" s="37" t="s">
        <v>350</v>
      </c>
      <c r="W19" s="39" t="s">
        <v>274</v>
      </c>
      <c r="X19" s="39" t="s">
        <v>274</v>
      </c>
      <c r="Y19" s="39" t="s">
        <v>274</v>
      </c>
      <c r="Z19" s="37" t="s">
        <v>350</v>
      </c>
      <c r="AA19" s="37" t="s">
        <v>350</v>
      </c>
      <c r="AB19" s="39" t="s">
        <v>274</v>
      </c>
      <c r="AC19" s="39" t="s">
        <v>274</v>
      </c>
      <c r="AD19" s="37" t="s">
        <v>350</v>
      </c>
      <c r="AE19" s="38" t="s">
        <v>350</v>
      </c>
      <c r="AF19" s="38" t="s">
        <v>350</v>
      </c>
      <c r="AG19" s="24" t="n">
        <v>11.5</v>
      </c>
      <c r="AH19" s="34" t="n">
        <f aca="false">(COUNTIF(E19:AF19,"E")*CONFIG!$B$9+COUNTIF(E19:AF19,"L")*CONFIG!$B$10+COUNTIF(E19:AF19,"EL")*CONFIG!$B$11+COUNTIF(E19:AF19,"N")*CONFIG!$B$12+COUNTIF(E19:AF19,"OC-E")*CONFIG!$B$9+COUNTIF(E19:AF19,"OC-L")*CONFIG!$B$10+COUNTIF(E19:AF19,"OC-EL")*CONFIG!$B$11+COUNTIF(E19:AF19,"OC-N")*CONFIG!$B$12+COUNTIF(E19:AF19,"ADM")*CONFIG!$B$9+COUNTIF(E19:AF19,"TRN")*CONFIG!$B$9+COUNTIF(E19:AF19,"BH-D")*CONFIG!$B$11+COUNTIF(E19:AF19,"BH-N")*CONFIG!$B$12)</f>
        <v>171.5</v>
      </c>
      <c r="AI19" s="34" t="n">
        <f aca="false">AH19*AG19</f>
        <v>1972.25</v>
      </c>
      <c r="AJ19" s="34" t="n">
        <f aca="false">(COUNTIF(E19:AF19,"OC-E")*CONFIG!$B$9+COUNTIF(E19:AF19,"OC-L")*CONFIG!$B$10+COUNTIF(E19:AF19,"OC-EL")*CONFIG!$B$11+COUNTIF(E19:AF19,"OC-N")*CONFIG!$B$12+COUNTIF(E19:AF19,"OT")*CONFIG!$B$9)</f>
        <v>0</v>
      </c>
      <c r="AK19" s="34" t="n">
        <f aca="false">AJ19*CONFIG!$B$28</f>
        <v>0</v>
      </c>
      <c r="AL19" s="34" t="n">
        <f aca="false">(COUNTIF(E19:K19,"E")+COUNTIF(E19:K19,"L")+COUNTIF(E19:K19,"OC-E")+COUNTIF(E19:K19,"OC-L"))*6+(COUNTIF(E19:K19,"EL")+COUNTIF(E19:K19,"OC-EL")+COUNTIF(E19:K19,"BH-D"))*12.25+(COUNTIF(E19:K19,"N")+COUNTIF(E19:K19,"OC-N")+COUNTIF(E19:K19,"BH-N"))*12.25</f>
        <v>61.25</v>
      </c>
      <c r="AM19" s="34" t="n">
        <f aca="false">(COUNTIF(L19:R19,"E")+COUNTIF(L19:R19,"L")+COUNTIF(L19:R19,"OC-E")+COUNTIF(L19:R19,"OC-L"))*6+(COUNTIF(L19:R19,"EL")+COUNTIF(L19:R19,"OC-EL")+COUNTIF(L19:R19,"BH-D"))*12.25+(COUNTIF(L19:R19,"N")+COUNTIF(L19:R19,"OC-N")+COUNTIF(L19:R19,"BH-N"))*12.25</f>
        <v>24.5</v>
      </c>
      <c r="AN19" s="34" t="str">
        <f aca="false">IF(AL19&lt;AM19,"Short W1",IF(AM19&lt;AL19,"Short W2","Balanced"))</f>
        <v>Short W2</v>
      </c>
      <c r="AO19" s="1" t="n">
        <f aca="false">(COUNTIF(E19:AF19,"BH-D")*CONFIG!$B$11*AG19*(CONFIG!$B$46-1)+COUNTIF(E19:AF19,"BH-N")*CONFIG!$B$12*AG19*(CONFIG!$B$46-1))</f>
        <v>0</v>
      </c>
      <c r="AP19" s="1" t="n">
        <f aca="false">AH19/4</f>
        <v>42.875</v>
      </c>
      <c r="AQ19" s="1" t="str">
        <f aca="false">IF(AP19&gt;48,"⚠️ &gt;48hr WTR BREACH",IF(AP19&gt;44,"🟡 HIGH","✅ OK"))</f>
        <v>✅ OK</v>
      </c>
    </row>
    <row r="20" customFormat="false" ht="15" hidden="false" customHeight="true" outlineLevel="0" collapsed="false">
      <c r="A20" s="1" t="s">
        <v>279</v>
      </c>
      <c r="B20" s="1" t="s">
        <v>273</v>
      </c>
      <c r="C20" s="1" t="s">
        <v>274</v>
      </c>
      <c r="D20" s="1" t="n">
        <v>0.5</v>
      </c>
      <c r="E20" s="39" t="s">
        <v>274</v>
      </c>
      <c r="F20" s="39" t="s">
        <v>274</v>
      </c>
      <c r="G20" s="37" t="s">
        <v>350</v>
      </c>
      <c r="H20" s="37" t="s">
        <v>350</v>
      </c>
      <c r="I20" s="39" t="s">
        <v>274</v>
      </c>
      <c r="J20" s="39" t="s">
        <v>274</v>
      </c>
      <c r="K20" s="39" t="s">
        <v>274</v>
      </c>
      <c r="L20" s="37" t="s">
        <v>350</v>
      </c>
      <c r="M20" s="37" t="s">
        <v>350</v>
      </c>
      <c r="N20" s="39" t="s">
        <v>274</v>
      </c>
      <c r="O20" s="39" t="s">
        <v>274</v>
      </c>
      <c r="P20" s="37" t="s">
        <v>350</v>
      </c>
      <c r="Q20" s="38" t="s">
        <v>350</v>
      </c>
      <c r="R20" s="38" t="s">
        <v>350</v>
      </c>
      <c r="S20" s="39" t="s">
        <v>274</v>
      </c>
      <c r="T20" s="39" t="s">
        <v>274</v>
      </c>
      <c r="U20" s="37" t="s">
        <v>350</v>
      </c>
      <c r="V20" s="37" t="s">
        <v>350</v>
      </c>
      <c r="W20" s="39" t="s">
        <v>274</v>
      </c>
      <c r="X20" s="39" t="s">
        <v>274</v>
      </c>
      <c r="Y20" s="39" t="s">
        <v>274</v>
      </c>
      <c r="Z20" s="37" t="s">
        <v>350</v>
      </c>
      <c r="AA20" s="37" t="s">
        <v>350</v>
      </c>
      <c r="AB20" s="39" t="s">
        <v>274</v>
      </c>
      <c r="AC20" s="39" t="s">
        <v>274</v>
      </c>
      <c r="AD20" s="37" t="s">
        <v>350</v>
      </c>
      <c r="AE20" s="38" t="s">
        <v>350</v>
      </c>
      <c r="AF20" s="38" t="s">
        <v>350</v>
      </c>
      <c r="AG20" s="24" t="n">
        <v>11.5</v>
      </c>
      <c r="AH20" s="34" t="n">
        <f aca="false">(COUNTIF(E20:AF20,"E")*CONFIG!$B$9+COUNTIF(E20:AF20,"L")*CONFIG!$B$10+COUNTIF(E20:AF20,"EL")*CONFIG!$B$11+COUNTIF(E20:AF20,"N")*CONFIG!$B$12+COUNTIF(E20:AF20,"OC-E")*CONFIG!$B$9+COUNTIF(E20:AF20,"OC-L")*CONFIG!$B$10+COUNTIF(E20:AF20,"OC-EL")*CONFIG!$B$11+COUNTIF(E20:AF20,"OC-N")*CONFIG!$B$12+COUNTIF(E20:AF20,"ADM")*CONFIG!$B$9+COUNTIF(E20:AF20,"TRN")*CONFIG!$B$9+COUNTIF(E20:AF20,"BH-D")*CONFIG!$B$11+COUNTIF(E20:AF20,"BH-N")*CONFIG!$B$12)</f>
        <v>171.5</v>
      </c>
      <c r="AI20" s="34" t="n">
        <f aca="false">AH20*AG20</f>
        <v>1972.25</v>
      </c>
      <c r="AJ20" s="34" t="n">
        <f aca="false">(COUNTIF(E20:AF20,"OC-E")*CONFIG!$B$9+COUNTIF(E20:AF20,"OC-L")*CONFIG!$B$10+COUNTIF(E20:AF20,"OC-EL")*CONFIG!$B$11+COUNTIF(E20:AF20,"OC-N")*CONFIG!$B$12+COUNTIF(E20:AF20,"OT")*CONFIG!$B$9)</f>
        <v>0</v>
      </c>
      <c r="AK20" s="34" t="n">
        <f aca="false">AJ20*CONFIG!$B$28</f>
        <v>0</v>
      </c>
      <c r="AL20" s="34" t="n">
        <f aca="false">(COUNTIF(E20:K20,"E")+COUNTIF(E20:K20,"L")+COUNTIF(E20:K20,"OC-E")+COUNTIF(E20:K20,"OC-L"))*6+(COUNTIF(E20:K20,"EL")+COUNTIF(E20:K20,"OC-EL")+COUNTIF(E20:K20,"BH-D"))*12.25+(COUNTIF(E20:K20,"N")+COUNTIF(E20:K20,"OC-N")+COUNTIF(E20:K20,"BH-N"))*12.25</f>
        <v>61.25</v>
      </c>
      <c r="AM20" s="34" t="n">
        <f aca="false">(COUNTIF(L20:R20,"E")+COUNTIF(L20:R20,"L")+COUNTIF(L20:R20,"OC-E")+COUNTIF(L20:R20,"OC-L"))*6+(COUNTIF(L20:R20,"EL")+COUNTIF(L20:R20,"OC-EL")+COUNTIF(L20:R20,"BH-D"))*12.25+(COUNTIF(L20:R20,"N")+COUNTIF(L20:R20,"OC-N")+COUNTIF(L20:R20,"BH-N"))*12.25</f>
        <v>24.5</v>
      </c>
      <c r="AN20" s="34" t="str">
        <f aca="false">IF(AL20&lt;AM20,"Short W1",IF(AM20&lt;AL20,"Short W2","Balanced"))</f>
        <v>Short W2</v>
      </c>
      <c r="AO20" s="1" t="n">
        <f aca="false">(COUNTIF(E20:AF20,"BH-D")*CONFIG!$B$11*AG20*(CONFIG!$B$46-1)+COUNTIF(E20:AF20,"BH-N")*CONFIG!$B$12*AG20*(CONFIG!$B$46-1))</f>
        <v>0</v>
      </c>
      <c r="AP20" s="1" t="n">
        <f aca="false">AH20/4</f>
        <v>42.875</v>
      </c>
      <c r="AQ20" s="1" t="str">
        <f aca="false">IF(AP20&gt;48,"⚠️ &gt;48hr WTR BREACH",IF(AP20&gt;44,"🟡 HIGH","✅ OK"))</f>
        <v>✅ OK</v>
      </c>
    </row>
    <row r="21" customFormat="false" ht="15" hidden="false" customHeight="true" outlineLevel="0" collapsed="false">
      <c r="A21" s="1" t="s">
        <v>281</v>
      </c>
      <c r="B21" s="1" t="s">
        <v>282</v>
      </c>
      <c r="C21" s="1" t="s">
        <v>274</v>
      </c>
      <c r="D21" s="1" t="n">
        <v>1</v>
      </c>
      <c r="E21" s="37" t="s">
        <v>350</v>
      </c>
      <c r="F21" s="37" t="s">
        <v>350</v>
      </c>
      <c r="G21" s="39" t="s">
        <v>274</v>
      </c>
      <c r="H21" s="39" t="s">
        <v>274</v>
      </c>
      <c r="I21" s="37" t="s">
        <v>350</v>
      </c>
      <c r="J21" s="38" t="s">
        <v>350</v>
      </c>
      <c r="K21" s="38" t="s">
        <v>350</v>
      </c>
      <c r="L21" s="39" t="s">
        <v>274</v>
      </c>
      <c r="M21" s="39" t="s">
        <v>274</v>
      </c>
      <c r="N21" s="37" t="s">
        <v>350</v>
      </c>
      <c r="O21" s="37" t="s">
        <v>350</v>
      </c>
      <c r="P21" s="39" t="s">
        <v>274</v>
      </c>
      <c r="Q21" s="39" t="s">
        <v>274</v>
      </c>
      <c r="R21" s="39" t="s">
        <v>274</v>
      </c>
      <c r="S21" s="37" t="s">
        <v>350</v>
      </c>
      <c r="T21" s="37" t="s">
        <v>350</v>
      </c>
      <c r="U21" s="39" t="s">
        <v>274</v>
      </c>
      <c r="V21" s="39" t="s">
        <v>274</v>
      </c>
      <c r="W21" s="37" t="s">
        <v>350</v>
      </c>
      <c r="X21" s="38" t="s">
        <v>350</v>
      </c>
      <c r="Y21" s="38" t="s">
        <v>350</v>
      </c>
      <c r="Z21" s="39" t="s">
        <v>274</v>
      </c>
      <c r="AA21" s="39" t="s">
        <v>274</v>
      </c>
      <c r="AB21" s="37" t="s">
        <v>350</v>
      </c>
      <c r="AC21" s="37" t="s">
        <v>350</v>
      </c>
      <c r="AD21" s="39" t="s">
        <v>274</v>
      </c>
      <c r="AE21" s="39" t="s">
        <v>274</v>
      </c>
      <c r="AF21" s="39" t="s">
        <v>274</v>
      </c>
      <c r="AG21" s="24" t="n">
        <v>13</v>
      </c>
      <c r="AH21" s="34" t="n">
        <f aca="false">(COUNTIF(E21:AF21,"E")*CONFIG!$B$9+COUNTIF(E21:AF21,"L")*CONFIG!$B$10+COUNTIF(E21:AF21,"EL")*CONFIG!$B$11+COUNTIF(E21:AF21,"N")*CONFIG!$B$12+COUNTIF(E21:AF21,"OC-E")*CONFIG!$B$9+COUNTIF(E21:AF21,"OC-L")*CONFIG!$B$10+COUNTIF(E21:AF21,"OC-EL")*CONFIG!$B$11+COUNTIF(E21:AF21,"OC-N")*CONFIG!$B$12+COUNTIF(E21:AF21,"ADM")*CONFIG!$B$9+COUNTIF(E21:AF21,"TRN")*CONFIG!$B$9+COUNTIF(E21:AF21,"BH-D")*CONFIG!$B$11+COUNTIF(E21:AF21,"BH-N")*CONFIG!$B$12)</f>
        <v>171.5</v>
      </c>
      <c r="AI21" s="34" t="n">
        <f aca="false">AH21*AG21</f>
        <v>2229.5</v>
      </c>
      <c r="AJ21" s="34" t="n">
        <f aca="false">(COUNTIF(E21:AF21,"OC-E")*CONFIG!$B$9+COUNTIF(E21:AF21,"OC-L")*CONFIG!$B$10+COUNTIF(E21:AF21,"OC-EL")*CONFIG!$B$11+COUNTIF(E21:AF21,"OC-N")*CONFIG!$B$12+COUNTIF(E21:AF21,"OT")*CONFIG!$B$9)</f>
        <v>0</v>
      </c>
      <c r="AK21" s="34" t="n">
        <f aca="false">AJ21*CONFIG!$B$28</f>
        <v>0</v>
      </c>
      <c r="AL21" s="34" t="n">
        <f aca="false">(COUNTIF(E21:K21,"E")+COUNTIF(E21:K21,"L")+COUNTIF(E21:K21,"OC-E")+COUNTIF(E21:K21,"OC-L"))*6+(COUNTIF(E21:K21,"EL")+COUNTIF(E21:K21,"OC-EL")+COUNTIF(E21:K21,"BH-D"))*12.25+(COUNTIF(E21:K21,"N")+COUNTIF(E21:K21,"OC-N")+COUNTIF(E21:K21,"BH-N"))*12.25</f>
        <v>24.5</v>
      </c>
      <c r="AM21" s="34" t="n">
        <f aca="false">(COUNTIF(L21:R21,"E")+COUNTIF(L21:R21,"L")+COUNTIF(L21:R21,"OC-E")+COUNTIF(L21:R21,"OC-L"))*6+(COUNTIF(L21:R21,"EL")+COUNTIF(L21:R21,"OC-EL")+COUNTIF(L21:R21,"BH-D"))*12.25+(COUNTIF(L21:R21,"N")+COUNTIF(L21:R21,"OC-N")+COUNTIF(L21:R21,"BH-N"))*12.25</f>
        <v>61.25</v>
      </c>
      <c r="AN21" s="34" t="str">
        <f aca="false">IF(AL21&lt;AM21,"Short W1",IF(AM21&lt;AL21,"Short W2","Balanced"))</f>
        <v>Short W1</v>
      </c>
      <c r="AO21" s="1" t="n">
        <f aca="false">(COUNTIF(E21:AF21,"BH-D")*CONFIG!$B$11*AG21*(CONFIG!$B$46-1)+COUNTIF(E21:AF21,"BH-N")*CONFIG!$B$12*AG21*(CONFIG!$B$46-1))</f>
        <v>0</v>
      </c>
      <c r="AP21" s="1" t="n">
        <f aca="false">AH21/4</f>
        <v>42.875</v>
      </c>
      <c r="AQ21" s="1" t="str">
        <f aca="false">IF(AP21&gt;48,"⚠️ &gt;48hr WTR BREACH",IF(AP21&gt;44,"🟡 HIGH","✅ OK"))</f>
        <v>✅ OK</v>
      </c>
    </row>
    <row r="22" customFormat="false" ht="15" hidden="false" customHeight="true" outlineLevel="0" collapsed="false">
      <c r="A22" s="1" t="s">
        <v>284</v>
      </c>
      <c r="B22" s="1" t="s">
        <v>282</v>
      </c>
      <c r="C22" s="1" t="s">
        <v>274</v>
      </c>
      <c r="D22" s="1" t="n">
        <v>0.5</v>
      </c>
      <c r="E22" s="37" t="s">
        <v>350</v>
      </c>
      <c r="F22" s="37" t="s">
        <v>350</v>
      </c>
      <c r="G22" s="39" t="s">
        <v>274</v>
      </c>
      <c r="H22" s="39" t="s">
        <v>274</v>
      </c>
      <c r="I22" s="37" t="s">
        <v>350</v>
      </c>
      <c r="J22" s="38" t="s">
        <v>350</v>
      </c>
      <c r="K22" s="38" t="s">
        <v>350</v>
      </c>
      <c r="L22" s="39" t="s">
        <v>274</v>
      </c>
      <c r="M22" s="39" t="s">
        <v>274</v>
      </c>
      <c r="N22" s="37" t="s">
        <v>350</v>
      </c>
      <c r="O22" s="37" t="s">
        <v>350</v>
      </c>
      <c r="P22" s="39" t="s">
        <v>274</v>
      </c>
      <c r="Q22" s="39" t="s">
        <v>274</v>
      </c>
      <c r="R22" s="39" t="s">
        <v>274</v>
      </c>
      <c r="S22" s="37" t="s">
        <v>350</v>
      </c>
      <c r="T22" s="37" t="s">
        <v>350</v>
      </c>
      <c r="U22" s="39" t="s">
        <v>274</v>
      </c>
      <c r="V22" s="39" t="s">
        <v>274</v>
      </c>
      <c r="W22" s="37" t="s">
        <v>350</v>
      </c>
      <c r="X22" s="38" t="s">
        <v>350</v>
      </c>
      <c r="Y22" s="38" t="s">
        <v>350</v>
      </c>
      <c r="Z22" s="39" t="s">
        <v>274</v>
      </c>
      <c r="AA22" s="39" t="s">
        <v>274</v>
      </c>
      <c r="AB22" s="37" t="s">
        <v>350</v>
      </c>
      <c r="AC22" s="37" t="s">
        <v>350</v>
      </c>
      <c r="AD22" s="39" t="s">
        <v>274</v>
      </c>
      <c r="AE22" s="39" t="s">
        <v>274</v>
      </c>
      <c r="AF22" s="39" t="s">
        <v>274</v>
      </c>
      <c r="AG22" s="24" t="n">
        <v>11.5</v>
      </c>
      <c r="AH22" s="34" t="n">
        <f aca="false">(COUNTIF(E22:AF22,"E")*CONFIG!$B$9+COUNTIF(E22:AF22,"L")*CONFIG!$B$10+COUNTIF(E22:AF22,"EL")*CONFIG!$B$11+COUNTIF(E22:AF22,"N")*CONFIG!$B$12+COUNTIF(E22:AF22,"OC-E")*CONFIG!$B$9+COUNTIF(E22:AF22,"OC-L")*CONFIG!$B$10+COUNTIF(E22:AF22,"OC-EL")*CONFIG!$B$11+COUNTIF(E22:AF22,"OC-N")*CONFIG!$B$12+COUNTIF(E22:AF22,"ADM")*CONFIG!$B$9+COUNTIF(E22:AF22,"TRN")*CONFIG!$B$9+COUNTIF(E22:AF22,"BH-D")*CONFIG!$B$11+COUNTIF(E22:AF22,"BH-N")*CONFIG!$B$12)</f>
        <v>171.5</v>
      </c>
      <c r="AI22" s="34" t="n">
        <f aca="false">AH22*AG22</f>
        <v>1972.25</v>
      </c>
      <c r="AJ22" s="34" t="n">
        <f aca="false">(COUNTIF(E22:AF22,"OC-E")*CONFIG!$B$9+COUNTIF(E22:AF22,"OC-L")*CONFIG!$B$10+COUNTIF(E22:AF22,"OC-EL")*CONFIG!$B$11+COUNTIF(E22:AF22,"OC-N")*CONFIG!$B$12+COUNTIF(E22:AF22,"OT")*CONFIG!$B$9)</f>
        <v>0</v>
      </c>
      <c r="AK22" s="34" t="n">
        <f aca="false">AJ22*CONFIG!$B$28</f>
        <v>0</v>
      </c>
      <c r="AL22" s="34" t="n">
        <f aca="false">(COUNTIF(E22:K22,"E")+COUNTIF(E22:K22,"L")+COUNTIF(E22:K22,"OC-E")+COUNTIF(E22:K22,"OC-L"))*6+(COUNTIF(E22:K22,"EL")+COUNTIF(E22:K22,"OC-EL")+COUNTIF(E22:K22,"BH-D"))*12.25+(COUNTIF(E22:K22,"N")+COUNTIF(E22:K22,"OC-N")+COUNTIF(E22:K22,"BH-N"))*12.25</f>
        <v>24.5</v>
      </c>
      <c r="AM22" s="34" t="n">
        <f aca="false">(COUNTIF(L22:R22,"E")+COUNTIF(L22:R22,"L")+COUNTIF(L22:R22,"OC-E")+COUNTIF(L22:R22,"OC-L"))*6+(COUNTIF(L22:R22,"EL")+COUNTIF(L22:R22,"OC-EL")+COUNTIF(L22:R22,"BH-D"))*12.25+(COUNTIF(L22:R22,"N")+COUNTIF(L22:R22,"OC-N")+COUNTIF(L22:R22,"BH-N"))*12.25</f>
        <v>61.25</v>
      </c>
      <c r="AN22" s="34" t="str">
        <f aca="false">IF(AL22&lt;AM22,"Short W1",IF(AM22&lt;AL22,"Short W2","Balanced"))</f>
        <v>Short W1</v>
      </c>
      <c r="AO22" s="1" t="n">
        <f aca="false">(COUNTIF(E22:AF22,"BH-D")*CONFIG!$B$11*AG22*(CONFIG!$B$46-1)+COUNTIF(E22:AF22,"BH-N")*CONFIG!$B$12*AG22*(CONFIG!$B$46-1))</f>
        <v>0</v>
      </c>
      <c r="AP22" s="1" t="n">
        <f aca="false">AH22/4</f>
        <v>42.875</v>
      </c>
      <c r="AQ22" s="1" t="str">
        <f aca="false">IF(AP22&gt;48,"⚠️ &gt;48hr WTR BREACH",IF(AP22&gt;44,"🟡 HIGH","✅ OK"))</f>
        <v>✅ OK</v>
      </c>
    </row>
    <row r="23" customFormat="false" ht="15" hidden="false" customHeight="true" outlineLevel="0" collapsed="false">
      <c r="A23" s="1" t="s">
        <v>286</v>
      </c>
      <c r="B23" s="1" t="s">
        <v>282</v>
      </c>
      <c r="C23" s="1" t="s">
        <v>274</v>
      </c>
      <c r="D23" s="1" t="n">
        <v>0.5</v>
      </c>
      <c r="E23" s="37" t="s">
        <v>350</v>
      </c>
      <c r="F23" s="37" t="s">
        <v>350</v>
      </c>
      <c r="G23" s="39" t="s">
        <v>274</v>
      </c>
      <c r="H23" s="39" t="s">
        <v>274</v>
      </c>
      <c r="I23" s="37" t="s">
        <v>350</v>
      </c>
      <c r="J23" s="38" t="s">
        <v>350</v>
      </c>
      <c r="K23" s="38" t="s">
        <v>350</v>
      </c>
      <c r="L23" s="39" t="s">
        <v>274</v>
      </c>
      <c r="M23" s="39" t="s">
        <v>274</v>
      </c>
      <c r="N23" s="37" t="s">
        <v>350</v>
      </c>
      <c r="O23" s="37" t="s">
        <v>350</v>
      </c>
      <c r="P23" s="39" t="s">
        <v>274</v>
      </c>
      <c r="Q23" s="39" t="s">
        <v>274</v>
      </c>
      <c r="R23" s="39" t="s">
        <v>274</v>
      </c>
      <c r="S23" s="37" t="s">
        <v>350</v>
      </c>
      <c r="T23" s="37" t="s">
        <v>350</v>
      </c>
      <c r="U23" s="39" t="s">
        <v>274</v>
      </c>
      <c r="V23" s="39" t="s">
        <v>274</v>
      </c>
      <c r="W23" s="37" t="s">
        <v>350</v>
      </c>
      <c r="X23" s="38" t="s">
        <v>350</v>
      </c>
      <c r="Y23" s="38" t="s">
        <v>350</v>
      </c>
      <c r="Z23" s="39" t="s">
        <v>274</v>
      </c>
      <c r="AA23" s="39" t="s">
        <v>274</v>
      </c>
      <c r="AB23" s="37" t="s">
        <v>350</v>
      </c>
      <c r="AC23" s="37" t="s">
        <v>350</v>
      </c>
      <c r="AD23" s="39" t="s">
        <v>274</v>
      </c>
      <c r="AE23" s="39" t="s">
        <v>274</v>
      </c>
      <c r="AF23" s="39" t="s">
        <v>274</v>
      </c>
      <c r="AG23" s="24" t="n">
        <v>11.5</v>
      </c>
      <c r="AH23" s="34" t="n">
        <f aca="false">(COUNTIF(E23:AF23,"E")*CONFIG!$B$9+COUNTIF(E23:AF23,"L")*CONFIG!$B$10+COUNTIF(E23:AF23,"EL")*CONFIG!$B$11+COUNTIF(E23:AF23,"N")*CONFIG!$B$12+COUNTIF(E23:AF23,"OC-E")*CONFIG!$B$9+COUNTIF(E23:AF23,"OC-L")*CONFIG!$B$10+COUNTIF(E23:AF23,"OC-EL")*CONFIG!$B$11+COUNTIF(E23:AF23,"OC-N")*CONFIG!$B$12+COUNTIF(E23:AF23,"ADM")*CONFIG!$B$9+COUNTIF(E23:AF23,"TRN")*CONFIG!$B$9+COUNTIF(E23:AF23,"BH-D")*CONFIG!$B$11+COUNTIF(E23:AF23,"BH-N")*CONFIG!$B$12)</f>
        <v>171.5</v>
      </c>
      <c r="AI23" s="34" t="n">
        <f aca="false">AH23*AG23</f>
        <v>1972.25</v>
      </c>
      <c r="AJ23" s="34" t="n">
        <f aca="false">(COUNTIF(E23:AF23,"OC-E")*CONFIG!$B$9+COUNTIF(E23:AF23,"OC-L")*CONFIG!$B$10+COUNTIF(E23:AF23,"OC-EL")*CONFIG!$B$11+COUNTIF(E23:AF23,"OC-N")*CONFIG!$B$12+COUNTIF(E23:AF23,"OT")*CONFIG!$B$9)</f>
        <v>0</v>
      </c>
      <c r="AK23" s="34" t="n">
        <f aca="false">AJ23*CONFIG!$B$28</f>
        <v>0</v>
      </c>
      <c r="AL23" s="34" t="n">
        <f aca="false">(COUNTIF(E23:K23,"E")+COUNTIF(E23:K23,"L")+COUNTIF(E23:K23,"OC-E")+COUNTIF(E23:K23,"OC-L"))*6+(COUNTIF(E23:K23,"EL")+COUNTIF(E23:K23,"OC-EL")+COUNTIF(E23:K23,"BH-D"))*12.25+(COUNTIF(E23:K23,"N")+COUNTIF(E23:K23,"OC-N")+COUNTIF(E23:K23,"BH-N"))*12.25</f>
        <v>24.5</v>
      </c>
      <c r="AM23" s="34" t="n">
        <f aca="false">(COUNTIF(L23:R23,"E")+COUNTIF(L23:R23,"L")+COUNTIF(L23:R23,"OC-E")+COUNTIF(L23:R23,"OC-L"))*6+(COUNTIF(L23:R23,"EL")+COUNTIF(L23:R23,"OC-EL")+COUNTIF(L23:R23,"BH-D"))*12.25+(COUNTIF(L23:R23,"N")+COUNTIF(L23:R23,"OC-N")+COUNTIF(L23:R23,"BH-N"))*12.25</f>
        <v>61.25</v>
      </c>
      <c r="AN23" s="34" t="str">
        <f aca="false">IF(AL23&lt;AM23,"Short W1",IF(AM23&lt;AL23,"Short W2","Balanced"))</f>
        <v>Short W1</v>
      </c>
      <c r="AO23" s="1" t="n">
        <f aca="false">(COUNTIF(E23:AF23,"BH-D")*CONFIG!$B$11*AG23*(CONFIG!$B$46-1)+COUNTIF(E23:AF23,"BH-N")*CONFIG!$B$12*AG23*(CONFIG!$B$46-1))</f>
        <v>0</v>
      </c>
      <c r="AP23" s="1" t="n">
        <f aca="false">AH23/4</f>
        <v>42.875</v>
      </c>
      <c r="AQ23" s="1" t="str">
        <f aca="false">IF(AP23&gt;48,"⚠️ &gt;48hr WTR BREACH",IF(AP23&gt;44,"🟡 HIGH","✅ OK"))</f>
        <v>✅ OK</v>
      </c>
    </row>
    <row r="24" customFormat="false" ht="15" hidden="false" customHeight="true" outlineLevel="0" collapsed="false">
      <c r="A24" s="1" t="s">
        <v>288</v>
      </c>
      <c r="B24" s="1" t="s">
        <v>99</v>
      </c>
      <c r="C24" s="1" t="s">
        <v>290</v>
      </c>
      <c r="D24" s="1" t="n">
        <v>1</v>
      </c>
      <c r="E24" s="37" t="s">
        <v>351</v>
      </c>
      <c r="F24" s="37" t="s">
        <v>351</v>
      </c>
      <c r="G24" s="37" t="s">
        <v>351</v>
      </c>
      <c r="H24" s="37" t="s">
        <v>351</v>
      </c>
      <c r="I24" s="37" t="s">
        <v>351</v>
      </c>
      <c r="J24" s="38" t="s">
        <v>351</v>
      </c>
      <c r="K24" s="38" t="s">
        <v>351</v>
      </c>
      <c r="L24" s="37" t="s">
        <v>351</v>
      </c>
      <c r="M24" s="37" t="s">
        <v>351</v>
      </c>
      <c r="N24" s="37" t="s">
        <v>351</v>
      </c>
      <c r="O24" s="37" t="s">
        <v>351</v>
      </c>
      <c r="P24" s="37" t="s">
        <v>351</v>
      </c>
      <c r="Q24" s="38" t="s">
        <v>351</v>
      </c>
      <c r="R24" s="38" t="s">
        <v>351</v>
      </c>
      <c r="S24" s="37" t="s">
        <v>351</v>
      </c>
      <c r="T24" s="37" t="s">
        <v>351</v>
      </c>
      <c r="U24" s="37" t="s">
        <v>351</v>
      </c>
      <c r="V24" s="37" t="s">
        <v>351</v>
      </c>
      <c r="W24" s="37" t="s">
        <v>351</v>
      </c>
      <c r="X24" s="38" t="s">
        <v>351</v>
      </c>
      <c r="Y24" s="38" t="s">
        <v>351</v>
      </c>
      <c r="Z24" s="37" t="s">
        <v>351</v>
      </c>
      <c r="AA24" s="37" t="s">
        <v>351</v>
      </c>
      <c r="AB24" s="37" t="s">
        <v>351</v>
      </c>
      <c r="AC24" s="37" t="s">
        <v>351</v>
      </c>
      <c r="AD24" s="37" t="s">
        <v>351</v>
      </c>
      <c r="AE24" s="38" t="s">
        <v>351</v>
      </c>
      <c r="AF24" s="38" t="s">
        <v>351</v>
      </c>
      <c r="AG24" s="24" t="n">
        <v>13</v>
      </c>
      <c r="AH24" s="34" t="n">
        <f aca="false">(COUNTIF(E24:AF24,"E")*CONFIG!$B$9+COUNTIF(E24:AF24,"L")*CONFIG!$B$10+COUNTIF(E24:AF24,"EL")*CONFIG!$B$11+COUNTIF(E24:AF24,"N")*CONFIG!$B$12+COUNTIF(E24:AF24,"OC-E")*CONFIG!$B$9+COUNTIF(E24:AF24,"OC-L")*CONFIG!$B$10+COUNTIF(E24:AF24,"OC-EL")*CONFIG!$B$11+COUNTIF(E24:AF24,"OC-N")*CONFIG!$B$12+COUNTIF(E24:AF24,"ADM")*CONFIG!$B$9+COUNTIF(E24:AF24,"TRN")*CONFIG!$B$9+COUNTIF(E24:AF24,"BH-D")*CONFIG!$B$11+COUNTIF(E24:AF24,"BH-N")*CONFIG!$B$12)</f>
        <v>0</v>
      </c>
      <c r="AI24" s="34" t="n">
        <f aca="false">AH24*AG24</f>
        <v>0</v>
      </c>
      <c r="AJ24" s="34" t="n">
        <f aca="false">(COUNTIF(E24:AF24,"OC-E")*CONFIG!$B$9+COUNTIF(E24:AF24,"OC-L")*CONFIG!$B$10+COUNTIF(E24:AF24,"OC-EL")*CONFIG!$B$11+COUNTIF(E24:AF24,"OC-N")*CONFIG!$B$12+COUNTIF(E24:AF24,"OT")*CONFIG!$B$9)</f>
        <v>0</v>
      </c>
      <c r="AK24" s="34" t="n">
        <f aca="false">AJ24*CONFIG!$B$28</f>
        <v>0</v>
      </c>
      <c r="AL24" s="34" t="n">
        <f aca="false">(COUNTIF(E24:K24,"E")+COUNTIF(E24:K24,"L")+COUNTIF(E24:K24,"OC-E")+COUNTIF(E24:K24,"OC-L"))*6+(COUNTIF(E24:K24,"EL")+COUNTIF(E24:K24,"OC-EL")+COUNTIF(E24:K24,"BH-D"))*12.25+(COUNTIF(E24:K24,"N")+COUNTIF(E24:K24,"OC-N")+COUNTIF(E24:K24,"BH-N"))*12.25</f>
        <v>0</v>
      </c>
      <c r="AM24" s="34" t="n">
        <f aca="false">(COUNTIF(L24:R24,"E")+COUNTIF(L24:R24,"L")+COUNTIF(L24:R24,"OC-E")+COUNTIF(L24:R24,"OC-L"))*6+(COUNTIF(L24:R24,"EL")+COUNTIF(L24:R24,"OC-EL")+COUNTIF(L24:R24,"BH-D"))*12.25+(COUNTIF(L24:R24,"N")+COUNTIF(L24:R24,"OC-N")+COUNTIF(L24:R24,"BH-N"))*12.25</f>
        <v>0</v>
      </c>
      <c r="AN24" s="34" t="str">
        <f aca="false">IF(AL24&lt;AM24,"Short W1",IF(AM24&lt;AL24,"Short W2","Balanced"))</f>
        <v>Balanced</v>
      </c>
      <c r="AO24" s="1" t="n">
        <f aca="false">(COUNTIF(E24:AF24,"BH-D")*CONFIG!$B$11*AG24*(CONFIG!$B$46-1)+COUNTIF(E24:AF24,"BH-N")*CONFIG!$B$12*AG24*(CONFIG!$B$46-1))</f>
        <v>0</v>
      </c>
      <c r="AP24" s="1" t="n">
        <f aca="false">AH24/4</f>
        <v>0</v>
      </c>
      <c r="AQ24" s="1" t="str">
        <f aca="false">IF(AP24&gt;48,"⚠️ &gt;48hr WTR BREACH",IF(AP24&gt;44,"🟡 HIGH","✅ OK"))</f>
        <v>✅ OK</v>
      </c>
    </row>
    <row r="25" customFormat="false" ht="15" hidden="false" customHeight="true" outlineLevel="0" collapsed="false">
      <c r="A25" s="1" t="s">
        <v>292</v>
      </c>
      <c r="B25" s="1" t="s">
        <v>99</v>
      </c>
      <c r="C25" s="1" t="s">
        <v>290</v>
      </c>
      <c r="D25" s="1" t="n">
        <v>0.5</v>
      </c>
      <c r="E25" s="37" t="s">
        <v>351</v>
      </c>
      <c r="F25" s="37" t="s">
        <v>351</v>
      </c>
      <c r="G25" s="37" t="s">
        <v>351</v>
      </c>
      <c r="H25" s="37" t="s">
        <v>351</v>
      </c>
      <c r="I25" s="37" t="s">
        <v>351</v>
      </c>
      <c r="J25" s="38" t="s">
        <v>351</v>
      </c>
      <c r="K25" s="38" t="s">
        <v>351</v>
      </c>
      <c r="L25" s="37" t="s">
        <v>351</v>
      </c>
      <c r="M25" s="37" t="s">
        <v>351</v>
      </c>
      <c r="N25" s="37" t="s">
        <v>351</v>
      </c>
      <c r="O25" s="37" t="s">
        <v>351</v>
      </c>
      <c r="P25" s="37" t="s">
        <v>351</v>
      </c>
      <c r="Q25" s="38" t="s">
        <v>351</v>
      </c>
      <c r="R25" s="38" t="s">
        <v>351</v>
      </c>
      <c r="S25" s="37" t="s">
        <v>351</v>
      </c>
      <c r="T25" s="37" t="s">
        <v>351</v>
      </c>
      <c r="U25" s="37" t="s">
        <v>351</v>
      </c>
      <c r="V25" s="37" t="s">
        <v>351</v>
      </c>
      <c r="W25" s="37" t="s">
        <v>351</v>
      </c>
      <c r="X25" s="38" t="s">
        <v>351</v>
      </c>
      <c r="Y25" s="38" t="s">
        <v>351</v>
      </c>
      <c r="Z25" s="37" t="s">
        <v>351</v>
      </c>
      <c r="AA25" s="37" t="s">
        <v>351</v>
      </c>
      <c r="AB25" s="37" t="s">
        <v>351</v>
      </c>
      <c r="AC25" s="37" t="s">
        <v>351</v>
      </c>
      <c r="AD25" s="37" t="s">
        <v>351</v>
      </c>
      <c r="AE25" s="38" t="s">
        <v>351</v>
      </c>
      <c r="AF25" s="38" t="s">
        <v>351</v>
      </c>
      <c r="AG25" s="24" t="n">
        <v>11.5</v>
      </c>
      <c r="AH25" s="34" t="n">
        <f aca="false">(COUNTIF(E25:AF25,"E")*CONFIG!$B$9+COUNTIF(E25:AF25,"L")*CONFIG!$B$10+COUNTIF(E25:AF25,"EL")*CONFIG!$B$11+COUNTIF(E25:AF25,"N")*CONFIG!$B$12+COUNTIF(E25:AF25,"OC-E")*CONFIG!$B$9+COUNTIF(E25:AF25,"OC-L")*CONFIG!$B$10+COUNTIF(E25:AF25,"OC-EL")*CONFIG!$B$11+COUNTIF(E25:AF25,"OC-N")*CONFIG!$B$12+COUNTIF(E25:AF25,"ADM")*CONFIG!$B$9+COUNTIF(E25:AF25,"TRN")*CONFIG!$B$9+COUNTIF(E25:AF25,"BH-D")*CONFIG!$B$11+COUNTIF(E25:AF25,"BH-N")*CONFIG!$B$12)</f>
        <v>0</v>
      </c>
      <c r="AI25" s="34" t="n">
        <f aca="false">AH25*AG25</f>
        <v>0</v>
      </c>
      <c r="AJ25" s="34" t="n">
        <f aca="false">(COUNTIF(E25:AF25,"OC-E")*CONFIG!$B$9+COUNTIF(E25:AF25,"OC-L")*CONFIG!$B$10+COUNTIF(E25:AF25,"OC-EL")*CONFIG!$B$11+COUNTIF(E25:AF25,"OC-N")*CONFIG!$B$12+COUNTIF(E25:AF25,"OT")*CONFIG!$B$9)</f>
        <v>0</v>
      </c>
      <c r="AK25" s="34" t="n">
        <f aca="false">AJ25*CONFIG!$B$28</f>
        <v>0</v>
      </c>
      <c r="AL25" s="34" t="n">
        <f aca="false">(COUNTIF(E25:K25,"E")+COUNTIF(E25:K25,"L")+COUNTIF(E25:K25,"OC-E")+COUNTIF(E25:K25,"OC-L"))*6+(COUNTIF(E25:K25,"EL")+COUNTIF(E25:K25,"OC-EL")+COUNTIF(E25:K25,"BH-D"))*12.25+(COUNTIF(E25:K25,"N")+COUNTIF(E25:K25,"OC-N")+COUNTIF(E25:K25,"BH-N"))*12.25</f>
        <v>0</v>
      </c>
      <c r="AM25" s="34" t="n">
        <f aca="false">(COUNTIF(L25:R25,"E")+COUNTIF(L25:R25,"L")+COUNTIF(L25:R25,"OC-E")+COUNTIF(L25:R25,"OC-L"))*6+(COUNTIF(L25:R25,"EL")+COUNTIF(L25:R25,"OC-EL")+COUNTIF(L25:R25,"BH-D"))*12.25+(COUNTIF(L25:R25,"N")+COUNTIF(L25:R25,"OC-N")+COUNTIF(L25:R25,"BH-N"))*12.25</f>
        <v>0</v>
      </c>
      <c r="AN25" s="34" t="str">
        <f aca="false">IF(AL25&lt;AM25,"Short W1",IF(AM25&lt;AL25,"Short W2","Balanced"))</f>
        <v>Balanced</v>
      </c>
      <c r="AO25" s="1" t="n">
        <f aca="false">(COUNTIF(E25:AF25,"BH-D")*CONFIG!$B$11*AG25*(CONFIG!$B$46-1)+COUNTIF(E25:AF25,"BH-N")*CONFIG!$B$12*AG25*(CONFIG!$B$46-1))</f>
        <v>0</v>
      </c>
      <c r="AP25" s="1" t="n">
        <f aca="false">AH25/4</f>
        <v>0</v>
      </c>
      <c r="AQ25" s="1" t="str">
        <f aca="false">IF(AP25&gt;48,"⚠️ &gt;48hr WTR BREACH",IF(AP25&gt;44,"🟡 HIGH","✅ OK"))</f>
        <v>✅ OK</v>
      </c>
    </row>
    <row r="26" customFormat="false" ht="15" hidden="false" customHeight="true" outlineLevel="0" collapsed="false">
      <c r="A26" s="1" t="s">
        <v>295</v>
      </c>
      <c r="B26" s="1" t="s">
        <v>99</v>
      </c>
      <c r="C26" s="1" t="s">
        <v>290</v>
      </c>
      <c r="D26" s="1" t="n">
        <v>0.5</v>
      </c>
      <c r="E26" s="37" t="s">
        <v>351</v>
      </c>
      <c r="F26" s="37" t="s">
        <v>351</v>
      </c>
      <c r="G26" s="37" t="s">
        <v>351</v>
      </c>
      <c r="H26" s="37" t="s">
        <v>351</v>
      </c>
      <c r="I26" s="37" t="s">
        <v>351</v>
      </c>
      <c r="J26" s="38" t="s">
        <v>351</v>
      </c>
      <c r="K26" s="38" t="s">
        <v>351</v>
      </c>
      <c r="L26" s="37" t="s">
        <v>351</v>
      </c>
      <c r="M26" s="37" t="s">
        <v>351</v>
      </c>
      <c r="N26" s="37" t="s">
        <v>351</v>
      </c>
      <c r="O26" s="37" t="s">
        <v>351</v>
      </c>
      <c r="P26" s="37" t="s">
        <v>351</v>
      </c>
      <c r="Q26" s="38" t="s">
        <v>351</v>
      </c>
      <c r="R26" s="38" t="s">
        <v>351</v>
      </c>
      <c r="S26" s="37" t="s">
        <v>351</v>
      </c>
      <c r="T26" s="37" t="s">
        <v>351</v>
      </c>
      <c r="U26" s="37" t="s">
        <v>351</v>
      </c>
      <c r="V26" s="37" t="s">
        <v>351</v>
      </c>
      <c r="W26" s="37" t="s">
        <v>351</v>
      </c>
      <c r="X26" s="38" t="s">
        <v>351</v>
      </c>
      <c r="Y26" s="38" t="s">
        <v>351</v>
      </c>
      <c r="Z26" s="37" t="s">
        <v>351</v>
      </c>
      <c r="AA26" s="37" t="s">
        <v>351</v>
      </c>
      <c r="AB26" s="37" t="s">
        <v>351</v>
      </c>
      <c r="AC26" s="37" t="s">
        <v>351</v>
      </c>
      <c r="AD26" s="37" t="s">
        <v>351</v>
      </c>
      <c r="AE26" s="38" t="s">
        <v>351</v>
      </c>
      <c r="AF26" s="38" t="s">
        <v>351</v>
      </c>
      <c r="AG26" s="24" t="n">
        <v>11.5</v>
      </c>
      <c r="AH26" s="34" t="n">
        <f aca="false">(COUNTIF(E26:AF26,"E")*CONFIG!$B$9+COUNTIF(E26:AF26,"L")*CONFIG!$B$10+COUNTIF(E26:AF26,"EL")*CONFIG!$B$11+COUNTIF(E26:AF26,"N")*CONFIG!$B$12+COUNTIF(E26:AF26,"OC-E")*CONFIG!$B$9+COUNTIF(E26:AF26,"OC-L")*CONFIG!$B$10+COUNTIF(E26:AF26,"OC-EL")*CONFIG!$B$11+COUNTIF(E26:AF26,"OC-N")*CONFIG!$B$12+COUNTIF(E26:AF26,"ADM")*CONFIG!$B$9+COUNTIF(E26:AF26,"TRN")*CONFIG!$B$9+COUNTIF(E26:AF26,"BH-D")*CONFIG!$B$11+COUNTIF(E26:AF26,"BH-N")*CONFIG!$B$12)</f>
        <v>0</v>
      </c>
      <c r="AI26" s="34" t="n">
        <f aca="false">AH26*AG26</f>
        <v>0</v>
      </c>
      <c r="AJ26" s="34" t="n">
        <f aca="false">(COUNTIF(E26:AF26,"OC-E")*CONFIG!$B$9+COUNTIF(E26:AF26,"OC-L")*CONFIG!$B$10+COUNTIF(E26:AF26,"OC-EL")*CONFIG!$B$11+COUNTIF(E26:AF26,"OC-N")*CONFIG!$B$12+COUNTIF(E26:AF26,"OT")*CONFIG!$B$9)</f>
        <v>0</v>
      </c>
      <c r="AK26" s="34" t="n">
        <f aca="false">AJ26*CONFIG!$B$28</f>
        <v>0</v>
      </c>
      <c r="AL26" s="34" t="n">
        <f aca="false">(COUNTIF(E26:K26,"E")+COUNTIF(E26:K26,"L")+COUNTIF(E26:K26,"OC-E")+COUNTIF(E26:K26,"OC-L"))*6+(COUNTIF(E26:K26,"EL")+COUNTIF(E26:K26,"OC-EL")+COUNTIF(E26:K26,"BH-D"))*12.25+(COUNTIF(E26:K26,"N")+COUNTIF(E26:K26,"OC-N")+COUNTIF(E26:K26,"BH-N"))*12.25</f>
        <v>0</v>
      </c>
      <c r="AM26" s="34" t="n">
        <f aca="false">(COUNTIF(L26:R26,"E")+COUNTIF(L26:R26,"L")+COUNTIF(L26:R26,"OC-E")+COUNTIF(L26:R26,"OC-L"))*6+(COUNTIF(L26:R26,"EL")+COUNTIF(L26:R26,"OC-EL")+COUNTIF(L26:R26,"BH-D"))*12.25+(COUNTIF(L26:R26,"N")+COUNTIF(L26:R26,"OC-N")+COUNTIF(L26:R26,"BH-N"))*12.25</f>
        <v>0</v>
      </c>
      <c r="AN26" s="34" t="str">
        <f aca="false">IF(AL26&lt;AM26,"Short W1",IF(AM26&lt;AL26,"Short W2","Balanced"))</f>
        <v>Balanced</v>
      </c>
      <c r="AO26" s="1" t="n">
        <f aca="false">(COUNTIF(E26:AF26,"BH-D")*CONFIG!$B$11*AG26*(CONFIG!$B$46-1)+COUNTIF(E26:AF26,"BH-N")*CONFIG!$B$12*AG26*(CONFIG!$B$46-1))</f>
        <v>0</v>
      </c>
      <c r="AP26" s="1" t="n">
        <f aca="false">AH26/4</f>
        <v>0</v>
      </c>
      <c r="AQ26" s="1" t="str">
        <f aca="false">IF(AP26&gt;48,"⚠️ &gt;48hr WTR BREACH",IF(AP26&gt;44,"🟡 HIGH","✅ OK"))</f>
        <v>✅ OK</v>
      </c>
    </row>
    <row r="27" customFormat="false" ht="15" hidden="false" customHeight="true" outlineLevel="0" collapsed="false">
      <c r="A27" s="1" t="s">
        <v>297</v>
      </c>
      <c r="B27" s="1" t="s">
        <v>239</v>
      </c>
      <c r="C27" s="1" t="s">
        <v>299</v>
      </c>
      <c r="D27" s="1" t="n">
        <v>0.5</v>
      </c>
      <c r="E27" s="32" t="s">
        <v>299</v>
      </c>
      <c r="F27" s="32" t="s">
        <v>299</v>
      </c>
      <c r="G27" s="32" t="s">
        <v>350</v>
      </c>
      <c r="H27" s="32" t="s">
        <v>350</v>
      </c>
      <c r="I27" s="32" t="s">
        <v>299</v>
      </c>
      <c r="J27" s="32" t="s">
        <v>299</v>
      </c>
      <c r="K27" s="32" t="s">
        <v>299</v>
      </c>
      <c r="L27" s="32" t="s">
        <v>350</v>
      </c>
      <c r="M27" s="32" t="s">
        <v>350</v>
      </c>
      <c r="N27" s="32" t="s">
        <v>299</v>
      </c>
      <c r="O27" s="32" t="s">
        <v>299</v>
      </c>
      <c r="P27" s="32" t="s">
        <v>350</v>
      </c>
      <c r="Q27" s="32" t="s">
        <v>350</v>
      </c>
      <c r="R27" s="32" t="s">
        <v>350</v>
      </c>
      <c r="S27" s="32" t="s">
        <v>299</v>
      </c>
      <c r="T27" s="32" t="s">
        <v>299</v>
      </c>
      <c r="U27" s="32" t="s">
        <v>350</v>
      </c>
      <c r="V27" s="32" t="s">
        <v>350</v>
      </c>
      <c r="W27" s="32" t="s">
        <v>299</v>
      </c>
      <c r="X27" s="32" t="s">
        <v>299</v>
      </c>
      <c r="Y27" s="32" t="s">
        <v>299</v>
      </c>
      <c r="Z27" s="32" t="s">
        <v>350</v>
      </c>
      <c r="AA27" s="32" t="s">
        <v>350</v>
      </c>
      <c r="AB27" s="32" t="s">
        <v>299</v>
      </c>
      <c r="AC27" s="32" t="s">
        <v>299</v>
      </c>
      <c r="AD27" s="32" t="s">
        <v>350</v>
      </c>
      <c r="AE27" s="32" t="s">
        <v>350</v>
      </c>
      <c r="AF27" s="32" t="s">
        <v>350</v>
      </c>
      <c r="AG27" s="1" t="n">
        <v>10.5</v>
      </c>
      <c r="AH27" s="1" t="n">
        <f aca="false">(COUNTIF(E27:AF27,"E")*CONFIG!$B$9+COUNTIF(E27:AF27,"L")*CONFIG!$B$10+COUNTIF(E27:AF27,"EL")*CONFIG!$B$11+COUNTIF(E27:AF27,"N")*CONFIG!$B$12+COUNTIF(E27:AF27,"OC-E")*CONFIG!$B$9+COUNTIF(E27:AF27,"OC-L")*CONFIG!$B$10+COUNTIF(E27:AF27,"OC-EL")*CONFIG!$B$11+COUNTIF(E27:AF27,"OC-N")*CONFIG!$B$12+COUNTIF(E27:AF27,"ADM")*CONFIG!$B$9+COUNTIF(E27:AF27,"TRN")*CONFIG!$B$9+COUNTIF(E27:AF27,"BH-D")*CONFIG!$B$11+COUNTIF(E27:AF27,"BH-N")*CONFIG!$B$12)</f>
        <v>84</v>
      </c>
      <c r="AI27" s="1" t="n">
        <f aca="false">AH27*AG27</f>
        <v>882</v>
      </c>
      <c r="AJ27" s="1" t="n">
        <f aca="false">(COUNTIF(E27:AF27,"OC-E")*CONFIG!$B$9+COUNTIF(E27:AF27,"OC-L")*CONFIG!$B$10+COUNTIF(E27:AF27,"OC-EL")*CONFIG!$B$11+COUNTIF(E27:AF27,"OC-N")*CONFIG!$B$12+COUNTIF(E27:AF27,"OT")*CONFIG!$B$9)</f>
        <v>0</v>
      </c>
      <c r="AK27" s="1" t="n">
        <f aca="false">AJ27*CONFIG!$B$28</f>
        <v>0</v>
      </c>
      <c r="AL27" s="1" t="n">
        <f aca="false">(COUNTIF(E27:K27,"E")+COUNTIF(E27:K27,"L")+COUNTIF(E27:K27,"OC-E")+COUNTIF(E27:K27,"OC-L"))*6+(COUNTIF(E27:K27,"EL")+COUNTIF(E27:K27,"OC-EL")+COUNTIF(E27:K27,"BH-D"))*12.25+(COUNTIF(E27:K27,"N")+COUNTIF(E27:K27,"OC-N")+COUNTIF(E27:K27,"BH-N"))*12.25</f>
        <v>30</v>
      </c>
      <c r="AM27" s="1" t="n">
        <f aca="false">(COUNTIF(L27:R27,"E")+COUNTIF(L27:R27,"L")+COUNTIF(L27:R27,"OC-E")+COUNTIF(L27:R27,"OC-L"))*6+(COUNTIF(L27:R27,"EL")+COUNTIF(L27:R27,"OC-EL")+COUNTIF(L27:R27,"BH-D"))*12.25+(COUNTIF(L27:R27,"N")+COUNTIF(L27:R27,"OC-N")+COUNTIF(L27:R27,"BH-N"))*12.25</f>
        <v>12</v>
      </c>
      <c r="AN27" s="1" t="str">
        <f aca="false">IF(AL27&lt;AM27,"Short W1",IF(AM27&lt;AL27,"Short W2","Balanced"))</f>
        <v>Short W2</v>
      </c>
      <c r="AO27" s="1" t="n">
        <f aca="false">(COUNTIF(E27:AF27,"BH-D")*CONFIG!$B$11*AG27*(CONFIG!$B$46-1)+COUNTIF(E27:AF27,"BH-N")*CONFIG!$B$12*AG27*(CONFIG!$B$46-1))</f>
        <v>0</v>
      </c>
      <c r="AP27" s="1" t="n">
        <f aca="false">AH27/4</f>
        <v>21</v>
      </c>
      <c r="AQ27" s="1" t="str">
        <f aca="false">IF(AP27&gt;48,"⚠️ &gt;48hr WTR BREACH",IF(AP27&gt;44,"🟡 HIGH","✅ OK"))</f>
        <v>✅ OK</v>
      </c>
    </row>
    <row r="28" customFormat="false" ht="15" hidden="false" customHeight="true" outlineLevel="0" collapsed="false">
      <c r="A28" s="1" t="s">
        <v>302</v>
      </c>
      <c r="B28" s="1" t="s">
        <v>257</v>
      </c>
      <c r="C28" s="1" t="s">
        <v>304</v>
      </c>
      <c r="D28" s="1" t="n">
        <v>1</v>
      </c>
      <c r="E28" s="32" t="s">
        <v>350</v>
      </c>
      <c r="F28" s="32" t="s">
        <v>350</v>
      </c>
      <c r="G28" s="32" t="s">
        <v>304</v>
      </c>
      <c r="H28" s="32" t="s">
        <v>304</v>
      </c>
      <c r="I28" s="32" t="s">
        <v>350</v>
      </c>
      <c r="J28" s="32" t="s">
        <v>350</v>
      </c>
      <c r="K28" s="32" t="s">
        <v>350</v>
      </c>
      <c r="L28" s="32" t="s">
        <v>304</v>
      </c>
      <c r="M28" s="32" t="s">
        <v>304</v>
      </c>
      <c r="N28" s="32" t="s">
        <v>350</v>
      </c>
      <c r="O28" s="32" t="s">
        <v>350</v>
      </c>
      <c r="P28" s="32" t="s">
        <v>304</v>
      </c>
      <c r="Q28" s="32" t="s">
        <v>304</v>
      </c>
      <c r="R28" s="32" t="s">
        <v>304</v>
      </c>
      <c r="S28" s="32" t="s">
        <v>350</v>
      </c>
      <c r="T28" s="32" t="s">
        <v>350</v>
      </c>
      <c r="U28" s="32" t="s">
        <v>304</v>
      </c>
      <c r="V28" s="32" t="s">
        <v>304</v>
      </c>
      <c r="W28" s="32" t="s">
        <v>350</v>
      </c>
      <c r="X28" s="32" t="s">
        <v>350</v>
      </c>
      <c r="Y28" s="32" t="s">
        <v>350</v>
      </c>
      <c r="Z28" s="32" t="s">
        <v>304</v>
      </c>
      <c r="AA28" s="32" t="s">
        <v>304</v>
      </c>
      <c r="AB28" s="32" t="s">
        <v>350</v>
      </c>
      <c r="AC28" s="32" t="s">
        <v>350</v>
      </c>
      <c r="AD28" s="32" t="s">
        <v>304</v>
      </c>
      <c r="AE28" s="32" t="s">
        <v>304</v>
      </c>
      <c r="AF28" s="32" t="s">
        <v>304</v>
      </c>
      <c r="AG28" s="1" t="n">
        <v>12</v>
      </c>
      <c r="AH28" s="1" t="n">
        <f aca="false">(COUNTIF(E28:AF28,"E")*CONFIG!$B$9+COUNTIF(E28:AF28,"L")*CONFIG!$B$10+COUNTIF(E28:AF28,"EL")*CONFIG!$B$11+COUNTIF(E28:AF28,"N")*CONFIG!$B$12+COUNTIF(E28:AF28,"OC-E")*CONFIG!$B$9+COUNTIF(E28:AF28,"OC-L")*CONFIG!$B$10+COUNTIF(E28:AF28,"OC-EL")*CONFIG!$B$11+COUNTIF(E28:AF28,"OC-N")*CONFIG!$B$12+COUNTIF(E28:AF28,"ADM")*CONFIG!$B$9+COUNTIF(E28:AF28,"TRN")*CONFIG!$B$9+COUNTIF(E28:AF28,"BH-D")*CONFIG!$B$11+COUNTIF(E28:AF28,"BH-N")*CONFIG!$B$12)</f>
        <v>84</v>
      </c>
      <c r="AI28" s="1" t="n">
        <f aca="false">AH28*AG28</f>
        <v>1008</v>
      </c>
      <c r="AJ28" s="1" t="n">
        <f aca="false">(COUNTIF(E28:AF28,"OC-E")*CONFIG!$B$9+COUNTIF(E28:AF28,"OC-L")*CONFIG!$B$10+COUNTIF(E28:AF28,"OC-EL")*CONFIG!$B$11+COUNTIF(E28:AF28,"OC-N")*CONFIG!$B$12+COUNTIF(E28:AF28,"OT")*CONFIG!$B$9)</f>
        <v>0</v>
      </c>
      <c r="AK28" s="1" t="n">
        <f aca="false">AJ28*CONFIG!$B$28</f>
        <v>0</v>
      </c>
      <c r="AL28" s="1" t="n">
        <f aca="false">(COUNTIF(E28:K28,"E")+COUNTIF(E28:K28,"L")+COUNTIF(E28:K28,"OC-E")+COUNTIF(E28:K28,"OC-L"))*6+(COUNTIF(E28:K28,"EL")+COUNTIF(E28:K28,"OC-EL")+COUNTIF(E28:K28,"BH-D"))*12.25+(COUNTIF(E28:K28,"N")+COUNTIF(E28:K28,"OC-N")+COUNTIF(E28:K28,"BH-N"))*12.25</f>
        <v>12</v>
      </c>
      <c r="AM28" s="1" t="n">
        <f aca="false">(COUNTIF(L28:R28,"E")+COUNTIF(L28:R28,"L")+COUNTIF(L28:R28,"OC-E")+COUNTIF(L28:R28,"OC-L"))*6+(COUNTIF(L28:R28,"EL")+COUNTIF(L28:R28,"OC-EL")+COUNTIF(L28:R28,"BH-D"))*12.25+(COUNTIF(L28:R28,"N")+COUNTIF(L28:R28,"OC-N")+COUNTIF(L28:R28,"BH-N"))*12.25</f>
        <v>30</v>
      </c>
      <c r="AN28" s="1" t="str">
        <f aca="false">IF(AL28&lt;AM28,"Short W1",IF(AM28&lt;AL28,"Short W2","Balanced"))</f>
        <v>Short W1</v>
      </c>
      <c r="AO28" s="1" t="n">
        <f aca="false">(COUNTIF(E28:AF28,"BH-D")*CONFIG!$B$11*AG28*(CONFIG!$B$46-1)+COUNTIF(E28:AF28,"BH-N")*CONFIG!$B$12*AG28*(CONFIG!$B$46-1))</f>
        <v>0</v>
      </c>
      <c r="AP28" s="1" t="n">
        <f aca="false">AH28/4</f>
        <v>21</v>
      </c>
      <c r="AQ28" s="1" t="str">
        <f aca="false">IF(AP28&gt;48,"⚠️ &gt;48hr WTR BREACH",IF(AP28&gt;44,"🟡 HIGH","✅ OK"))</f>
        <v>✅ OK</v>
      </c>
    </row>
    <row r="29" customFormat="false" ht="15" hidden="false" customHeight="true" outlineLevel="0" collapsed="false">
      <c r="A29" s="10"/>
    </row>
    <row r="30" customFormat="false" ht="15" hidden="false" customHeight="true" outlineLevel="0" collapsed="false">
      <c r="A30" s="8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customFormat="false" ht="15" hidden="false" customHeight="true" outlineLevel="0" collapsed="false">
      <c r="A31" s="8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customFormat="false" ht="15" hidden="false" customHeight="true" outlineLevel="0" collapsed="false">
      <c r="A32" s="8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customFormat="false" ht="15" hidden="false" customHeight="true" outlineLevel="0" collapsed="false">
      <c r="A33" s="8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customFormat="false" ht="15" hidden="false" customHeight="true" outlineLevel="0" collapsed="false">
      <c r="A34" s="8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customFormat="false" ht="15" hidden="false" customHeight="true" outlineLevel="0" collapsed="false">
      <c r="A35" s="8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customFormat="false" ht="15" hidden="false" customHeight="true" outlineLevel="0" collapsed="false">
      <c r="A36" s="8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customFormat="false" ht="15" hidden="false" customHeight="true" outlineLevel="0" collapsed="false">
      <c r="A37" s="8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customFormat="false" ht="15" hidden="false" customHeight="true" outlineLevel="0" collapsed="false">
      <c r="A38" s="8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customFormat="false" ht="15" hidden="false" customHeight="true" outlineLevel="0" collapsed="false">
      <c r="A39" s="8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customFormat="false" ht="15" hidden="false" customHeight="true" outlineLevel="0" collapsed="false">
      <c r="A40" s="8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52" customFormat="false" ht="15" hidden="false" customHeight="true" outlineLevel="0" collapsed="false">
      <c r="A52" s="10" t="s">
        <v>352</v>
      </c>
    </row>
    <row r="53" customFormat="false" ht="15" hidden="false" customHeight="true" outlineLevel="0" collapsed="false">
      <c r="A53" s="8" t="s">
        <v>353</v>
      </c>
      <c r="E53" s="34" t="n">
        <f aca="false">COUNTIF(E$4:E$50,"E")+COUNTIF(E$4:E$50,"EL")+COUNTIF(E$4:E$50,"OC-E")+COUNTIF(E$4:E$50,"OC-EL")+COUNTIF(E$4:E$50,"BH-D")+COUNTIF(E$4:E$50,"AG-E")</f>
        <v>8</v>
      </c>
      <c r="F53" s="34" t="n">
        <f aca="false">COUNTIF(F$4:F$50,"E")+COUNTIF(F$4:F$50,"EL")+COUNTIF(F$4:F$50,"OC-E")+COUNTIF(F$4:F$50,"OC-EL")+COUNTIF(F$4:F$50,"BH-D")+COUNTIF(F$4:F$50,"AG-E")</f>
        <v>8</v>
      </c>
      <c r="G53" s="34" t="n">
        <f aca="false">COUNTIF(G$4:G$50,"E")+COUNTIF(G$4:G$50,"EL")+COUNTIF(G$4:G$50,"OC-E")+COUNTIF(G$4:G$50,"OC-EL")+COUNTIF(G$4:G$50,"BH-D")+COUNTIF(G$4:G$50,"AG-E")</f>
        <v>7</v>
      </c>
      <c r="H53" s="34" t="n">
        <f aca="false">COUNTIF(H$4:H$50,"E")+COUNTIF(H$4:H$50,"EL")+COUNTIF(H$4:H$50,"OC-E")+COUNTIF(H$4:H$50,"OC-EL")+COUNTIF(H$4:H$50,"BH-D")+COUNTIF(H$4:H$50,"AG-E")</f>
        <v>7</v>
      </c>
      <c r="I53" s="34" t="n">
        <f aca="false">COUNTIF(I$4:I$50,"E")+COUNTIF(I$4:I$50,"EL")+COUNTIF(I$4:I$50,"OC-E")+COUNTIF(I$4:I$50,"OC-EL")+COUNTIF(I$4:I$50,"BH-D")+COUNTIF(I$4:I$50,"AG-E")</f>
        <v>8</v>
      </c>
      <c r="J53" s="34" t="n">
        <f aca="false">COUNTIF(J$4:J$50,"E")+COUNTIF(J$4:J$50,"EL")+COUNTIF(J$4:J$50,"OC-E")+COUNTIF(J$4:J$50,"OC-EL")+COUNTIF(J$4:J$50,"BH-D")+COUNTIF(J$4:J$50,"AG-E")</f>
        <v>8</v>
      </c>
      <c r="K53" s="34" t="n">
        <f aca="false">COUNTIF(K$4:K$50,"E")+COUNTIF(K$4:K$50,"EL")+COUNTIF(K$4:K$50,"OC-E")+COUNTIF(K$4:K$50,"OC-EL")+COUNTIF(K$4:K$50,"BH-D")+COUNTIF(K$4:K$50,"AG-E")</f>
        <v>8</v>
      </c>
      <c r="L53" s="34" t="n">
        <f aca="false">COUNTIF(L$4:L$50,"E")+COUNTIF(L$4:L$50,"EL")+COUNTIF(L$4:L$50,"OC-E")+COUNTIF(L$4:L$50,"OC-EL")+COUNTIF(L$4:L$50,"BH-D")+COUNTIF(L$4:L$50,"AG-E")</f>
        <v>7</v>
      </c>
      <c r="M53" s="34" t="n">
        <f aca="false">COUNTIF(M$4:M$50,"E")+COUNTIF(M$4:M$50,"EL")+COUNTIF(M$4:M$50,"OC-E")+COUNTIF(M$4:M$50,"OC-EL")+COUNTIF(M$4:M$50,"BH-D")+COUNTIF(M$4:M$50,"AG-E")</f>
        <v>7</v>
      </c>
      <c r="N53" s="34" t="n">
        <f aca="false">COUNTIF(N$4:N$50,"E")+COUNTIF(N$4:N$50,"EL")+COUNTIF(N$4:N$50,"OC-E")+COUNTIF(N$4:N$50,"OC-EL")+COUNTIF(N$4:N$50,"BH-D")+COUNTIF(N$4:N$50,"AG-E")</f>
        <v>8</v>
      </c>
      <c r="O53" s="34" t="n">
        <f aca="false">COUNTIF(O$4:O$50,"E")+COUNTIF(O$4:O$50,"EL")+COUNTIF(O$4:O$50,"OC-E")+COUNTIF(O$4:O$50,"OC-EL")+COUNTIF(O$4:O$50,"BH-D")+COUNTIF(O$4:O$50,"AG-E")</f>
        <v>8</v>
      </c>
      <c r="P53" s="34" t="n">
        <f aca="false">COUNTIF(P$4:P$50,"E")+COUNTIF(P$4:P$50,"EL")+COUNTIF(P$4:P$50,"OC-E")+COUNTIF(P$4:P$50,"OC-EL")+COUNTIF(P$4:P$50,"BH-D")+COUNTIF(P$4:P$50,"AG-E")</f>
        <v>7</v>
      </c>
      <c r="Q53" s="34" t="n">
        <f aca="false">COUNTIF(Q$4:Q$50,"E")+COUNTIF(Q$4:Q$50,"EL")+COUNTIF(Q$4:Q$50,"OC-E")+COUNTIF(Q$4:Q$50,"OC-EL")+COUNTIF(Q$4:Q$50,"BH-D")+COUNTIF(Q$4:Q$50,"AG-E")</f>
        <v>7</v>
      </c>
      <c r="R53" s="34" t="n">
        <f aca="false">COUNTIF(R$4:R$50,"E")+COUNTIF(R$4:R$50,"EL")+COUNTIF(R$4:R$50,"OC-E")+COUNTIF(R$4:R$50,"OC-EL")+COUNTIF(R$4:R$50,"BH-D")+COUNTIF(R$4:R$50,"AG-E")</f>
        <v>7</v>
      </c>
      <c r="S53" s="34" t="n">
        <f aca="false">COUNTIF(S$4:S$50,"E")+COUNTIF(S$4:S$50,"EL")+COUNTIF(S$4:S$50,"OC-E")+COUNTIF(S$4:S$50,"OC-EL")+COUNTIF(S$4:S$50,"BH-D")+COUNTIF(S$4:S$50,"AG-E")</f>
        <v>8</v>
      </c>
      <c r="T53" s="34" t="n">
        <f aca="false">COUNTIF(T$4:T$50,"E")+COUNTIF(T$4:T$50,"EL")+COUNTIF(T$4:T$50,"OC-E")+COUNTIF(T$4:T$50,"OC-EL")+COUNTIF(T$4:T$50,"BH-D")+COUNTIF(T$4:T$50,"AG-E")</f>
        <v>8</v>
      </c>
      <c r="U53" s="34" t="n">
        <f aca="false">COUNTIF(U$4:U$50,"E")+COUNTIF(U$4:U$50,"EL")+COUNTIF(U$4:U$50,"OC-E")+COUNTIF(U$4:U$50,"OC-EL")+COUNTIF(U$4:U$50,"BH-D")+COUNTIF(U$4:U$50,"AG-E")</f>
        <v>7</v>
      </c>
      <c r="V53" s="34" t="n">
        <f aca="false">COUNTIF(V$4:V$50,"E")+COUNTIF(V$4:V$50,"EL")+COUNTIF(V$4:V$50,"OC-E")+COUNTIF(V$4:V$50,"OC-EL")+COUNTIF(V$4:V$50,"BH-D")+COUNTIF(V$4:V$50,"AG-E")</f>
        <v>7</v>
      </c>
      <c r="W53" s="34" t="n">
        <f aca="false">COUNTIF(W$4:W$50,"E")+COUNTIF(W$4:W$50,"EL")+COUNTIF(W$4:W$50,"OC-E")+COUNTIF(W$4:W$50,"OC-EL")+COUNTIF(W$4:W$50,"BH-D")+COUNTIF(W$4:W$50,"AG-E")</f>
        <v>8</v>
      </c>
      <c r="X53" s="34" t="n">
        <f aca="false">COUNTIF(X$4:X$50,"E")+COUNTIF(X$4:X$50,"EL")+COUNTIF(X$4:X$50,"OC-E")+COUNTIF(X$4:X$50,"OC-EL")+COUNTIF(X$4:X$50,"BH-D")+COUNTIF(X$4:X$50,"AG-E")</f>
        <v>8</v>
      </c>
      <c r="Y53" s="34" t="n">
        <f aca="false">COUNTIF(Y$4:Y$50,"E")+COUNTIF(Y$4:Y$50,"EL")+COUNTIF(Y$4:Y$50,"OC-E")+COUNTIF(Y$4:Y$50,"OC-EL")+COUNTIF(Y$4:Y$50,"BH-D")+COUNTIF(Y$4:Y$50,"AG-E")</f>
        <v>8</v>
      </c>
      <c r="Z53" s="34" t="n">
        <f aca="false">COUNTIF(Z$4:Z$50,"E")+COUNTIF(Z$4:Z$50,"EL")+COUNTIF(Z$4:Z$50,"OC-E")+COUNTIF(Z$4:Z$50,"OC-EL")+COUNTIF(Z$4:Z$50,"BH-D")+COUNTIF(Z$4:Z$50,"AG-E")</f>
        <v>7</v>
      </c>
      <c r="AA53" s="34" t="n">
        <f aca="false">COUNTIF(AA$4:AA$50,"E")+COUNTIF(AA$4:AA$50,"EL")+COUNTIF(AA$4:AA$50,"OC-E")+COUNTIF(AA$4:AA$50,"OC-EL")+COUNTIF(AA$4:AA$50,"BH-D")+COUNTIF(AA$4:AA$50,"AG-E")</f>
        <v>7</v>
      </c>
      <c r="AB53" s="34" t="n">
        <f aca="false">COUNTIF(AB$4:AB$50,"E")+COUNTIF(AB$4:AB$50,"EL")+COUNTIF(AB$4:AB$50,"OC-E")+COUNTIF(AB$4:AB$50,"OC-EL")+COUNTIF(AB$4:AB$50,"BH-D")+COUNTIF(AB$4:AB$50,"AG-E")</f>
        <v>8</v>
      </c>
      <c r="AC53" s="34" t="n">
        <f aca="false">COUNTIF(AC$4:AC$50,"E")+COUNTIF(AC$4:AC$50,"EL")+COUNTIF(AC$4:AC$50,"OC-E")+COUNTIF(AC$4:AC$50,"OC-EL")+COUNTIF(AC$4:AC$50,"BH-D")+COUNTIF(AC$4:AC$50,"AG-E")</f>
        <v>8</v>
      </c>
      <c r="AD53" s="34" t="n">
        <f aca="false">COUNTIF(AD$4:AD$50,"E")+COUNTIF(AD$4:AD$50,"EL")+COUNTIF(AD$4:AD$50,"OC-E")+COUNTIF(AD$4:AD$50,"OC-EL")+COUNTIF(AD$4:AD$50,"BH-D")+COUNTIF(AD$4:AD$50,"AG-E")</f>
        <v>7</v>
      </c>
      <c r="AE53" s="34" t="n">
        <f aca="false">COUNTIF(AE$4:AE$50,"E")+COUNTIF(AE$4:AE$50,"EL")+COUNTIF(AE$4:AE$50,"OC-E")+COUNTIF(AE$4:AE$50,"OC-EL")+COUNTIF(AE$4:AE$50,"BH-D")+COUNTIF(AE$4:AE$50,"AG-E")</f>
        <v>7</v>
      </c>
      <c r="AF53" s="34" t="n">
        <f aca="false">COUNTIF(AF$4:AF$50,"E")+COUNTIF(AF$4:AF$50,"EL")+COUNTIF(AF$4:AF$50,"OC-E")+COUNTIF(AF$4:AF$50,"OC-EL")+COUNTIF(AF$4:AF$50,"BH-D")+COUNTIF(AF$4:AF$50,"AG-E")</f>
        <v>7</v>
      </c>
    </row>
    <row r="54" customFormat="false" ht="15" hidden="false" customHeight="true" outlineLevel="0" collapsed="false">
      <c r="A54" s="8" t="s">
        <v>354</v>
      </c>
      <c r="E54" s="34" t="n">
        <f aca="false">SUMPRODUCT(((E$4:E$50="E")+(E$4:E$50="EL")+(E$4:E$50="OC-E")+(E$4:E$50="OC-EL")+(E$4:E$50="BH-D"))*$D$4:$D$50)+COUNTIF(E$4:E$50,"AG-E")*1</f>
        <v>6.5</v>
      </c>
      <c r="F54" s="34" t="n">
        <f aca="false">SUMPRODUCT(((F$4:F$50="E")+(F$4:F$50="EL")+(F$4:F$50="OC-E")+(F$4:F$50="OC-EL")+(F$4:F$50="BH-D"))*$D$4:$D$50)+COUNTIF(F$4:F$50,"AG-E")*1</f>
        <v>6.5</v>
      </c>
      <c r="G54" s="34" t="n">
        <f aca="false">SUMPRODUCT(((G$4:G$50="E")+(G$4:G$50="EL")+(G$4:G$50="OC-E")+(G$4:G$50="OC-EL")+(G$4:G$50="BH-D"))*$D$4:$D$50)+COUNTIF(G$4:G$50,"AG-E")*1</f>
        <v>6</v>
      </c>
      <c r="H54" s="34" t="n">
        <f aca="false">SUMPRODUCT(((H$4:H$50="E")+(H$4:H$50="EL")+(H$4:H$50="OC-E")+(H$4:H$50="OC-EL")+(H$4:H$50="BH-D"))*$D$4:$D$50)+COUNTIF(H$4:H$50,"AG-E")*1</f>
        <v>6</v>
      </c>
      <c r="I54" s="34" t="n">
        <f aca="false">SUMPRODUCT(((I$4:I$50="E")+(I$4:I$50="EL")+(I$4:I$50="OC-E")+(I$4:I$50="OC-EL")+(I$4:I$50="BH-D"))*$D$4:$D$50)+COUNTIF(I$4:I$50,"AG-E")*1</f>
        <v>6.5</v>
      </c>
      <c r="J54" s="34" t="n">
        <f aca="false">SUMPRODUCT(((J$4:J$50="E")+(J$4:J$50="EL")+(J$4:J$50="OC-E")+(J$4:J$50="OC-EL")+(J$4:J$50="BH-D"))*$D$4:$D$50)+COUNTIF(J$4:J$50,"AG-E")*1</f>
        <v>6.5</v>
      </c>
      <c r="K54" s="34" t="n">
        <f aca="false">SUMPRODUCT(((K$4:K$50="E")+(K$4:K$50="EL")+(K$4:K$50="OC-E")+(K$4:K$50="OC-EL")+(K$4:K$50="BH-D"))*$D$4:$D$50)+COUNTIF(K$4:K$50,"AG-E")*1</f>
        <v>6.5</v>
      </c>
      <c r="L54" s="34" t="n">
        <f aca="false">SUMPRODUCT(((L$4:L$50="E")+(L$4:L$50="EL")+(L$4:L$50="OC-E")+(L$4:L$50="OC-EL")+(L$4:L$50="BH-D"))*$D$4:$D$50)+COUNTIF(L$4:L$50,"AG-E")*1</f>
        <v>6</v>
      </c>
      <c r="M54" s="34" t="n">
        <f aca="false">SUMPRODUCT(((M$4:M$50="E")+(M$4:M$50="EL")+(M$4:M$50="OC-E")+(M$4:M$50="OC-EL")+(M$4:M$50="BH-D"))*$D$4:$D$50)+COUNTIF(M$4:M$50,"AG-E")*1</f>
        <v>6</v>
      </c>
      <c r="N54" s="34" t="n">
        <f aca="false">SUMPRODUCT(((N$4:N$50="E")+(N$4:N$50="EL")+(N$4:N$50="OC-E")+(N$4:N$50="OC-EL")+(N$4:N$50="BH-D"))*$D$4:$D$50)+COUNTIF(N$4:N$50,"AG-E")*1</f>
        <v>6.5</v>
      </c>
      <c r="O54" s="34" t="n">
        <f aca="false">SUMPRODUCT(((O$4:O$50="E")+(O$4:O$50="EL")+(O$4:O$50="OC-E")+(O$4:O$50="OC-EL")+(O$4:O$50="BH-D"))*$D$4:$D$50)+COUNTIF(O$4:O$50,"AG-E")*1</f>
        <v>6.5</v>
      </c>
      <c r="P54" s="34" t="n">
        <f aca="false">SUMPRODUCT(((P$4:P$50="E")+(P$4:P$50="EL")+(P$4:P$50="OC-E")+(P$4:P$50="OC-EL")+(P$4:P$50="BH-D"))*$D$4:$D$50)+COUNTIF(P$4:P$50,"AG-E")*1</f>
        <v>6</v>
      </c>
      <c r="Q54" s="34" t="n">
        <f aca="false">SUMPRODUCT(((Q$4:Q$50="E")+(Q$4:Q$50="EL")+(Q$4:Q$50="OC-E")+(Q$4:Q$50="OC-EL")+(Q$4:Q$50="BH-D"))*$D$4:$D$50)+COUNTIF(Q$4:Q$50,"AG-E")*1</f>
        <v>6</v>
      </c>
      <c r="R54" s="34" t="n">
        <f aca="false">SUMPRODUCT(((R$4:R$50="E")+(R$4:R$50="EL")+(R$4:R$50="OC-E")+(R$4:R$50="OC-EL")+(R$4:R$50="BH-D"))*$D$4:$D$50)+COUNTIF(R$4:R$50,"AG-E")*1</f>
        <v>6</v>
      </c>
      <c r="S54" s="34" t="n">
        <f aca="false">SUMPRODUCT(((S$4:S$50="E")+(S$4:S$50="EL")+(S$4:S$50="OC-E")+(S$4:S$50="OC-EL")+(S$4:S$50="BH-D"))*$D$4:$D$50)+COUNTIF(S$4:S$50,"AG-E")*1</f>
        <v>6.5</v>
      </c>
      <c r="T54" s="34" t="n">
        <f aca="false">SUMPRODUCT(((T$4:T$50="E")+(T$4:T$50="EL")+(T$4:T$50="OC-E")+(T$4:T$50="OC-EL")+(T$4:T$50="BH-D"))*$D$4:$D$50)+COUNTIF(T$4:T$50,"AG-E")*1</f>
        <v>6.5</v>
      </c>
      <c r="U54" s="34" t="n">
        <f aca="false">SUMPRODUCT(((U$4:U$50="E")+(U$4:U$50="EL")+(U$4:U$50="OC-E")+(U$4:U$50="OC-EL")+(U$4:U$50="BH-D"))*$D$4:$D$50)+COUNTIF(U$4:U$50,"AG-E")*1</f>
        <v>6</v>
      </c>
      <c r="V54" s="34" t="n">
        <f aca="false">SUMPRODUCT(((V$4:V$50="E")+(V$4:V$50="EL")+(V$4:V$50="OC-E")+(V$4:V$50="OC-EL")+(V$4:V$50="BH-D"))*$D$4:$D$50)+COUNTIF(V$4:V$50,"AG-E")*1</f>
        <v>6</v>
      </c>
      <c r="W54" s="34" t="n">
        <f aca="false">SUMPRODUCT(((W$4:W$50="E")+(W$4:W$50="EL")+(W$4:W$50="OC-E")+(W$4:W$50="OC-EL")+(W$4:W$50="BH-D"))*$D$4:$D$50)+COUNTIF(W$4:W$50,"AG-E")*1</f>
        <v>6.5</v>
      </c>
      <c r="X54" s="34" t="n">
        <f aca="false">SUMPRODUCT(((X$4:X$50="E")+(X$4:X$50="EL")+(X$4:X$50="OC-E")+(X$4:X$50="OC-EL")+(X$4:X$50="BH-D"))*$D$4:$D$50)+COUNTIF(X$4:X$50,"AG-E")*1</f>
        <v>6.5</v>
      </c>
      <c r="Y54" s="34" t="n">
        <f aca="false">SUMPRODUCT(((Y$4:Y$50="E")+(Y$4:Y$50="EL")+(Y$4:Y$50="OC-E")+(Y$4:Y$50="OC-EL")+(Y$4:Y$50="BH-D"))*$D$4:$D$50)+COUNTIF(Y$4:Y$50,"AG-E")*1</f>
        <v>6.5</v>
      </c>
      <c r="Z54" s="34" t="n">
        <f aca="false">SUMPRODUCT(((Z$4:Z$50="E")+(Z$4:Z$50="EL")+(Z$4:Z$50="OC-E")+(Z$4:Z$50="OC-EL")+(Z$4:Z$50="BH-D"))*$D$4:$D$50)+COUNTIF(Z$4:Z$50,"AG-E")*1</f>
        <v>6</v>
      </c>
      <c r="AA54" s="34" t="n">
        <f aca="false">SUMPRODUCT(((AA$4:AA$50="E")+(AA$4:AA$50="EL")+(AA$4:AA$50="OC-E")+(AA$4:AA$50="OC-EL")+(AA$4:AA$50="BH-D"))*$D$4:$D$50)+COUNTIF(AA$4:AA$50,"AG-E")*1</f>
        <v>6</v>
      </c>
      <c r="AB54" s="34" t="n">
        <f aca="false">SUMPRODUCT(((AB$4:AB$50="E")+(AB$4:AB$50="EL")+(AB$4:AB$50="OC-E")+(AB$4:AB$50="OC-EL")+(AB$4:AB$50="BH-D"))*$D$4:$D$50)+COUNTIF(AB$4:AB$50,"AG-E")*1</f>
        <v>6.5</v>
      </c>
      <c r="AC54" s="34" t="n">
        <f aca="false">SUMPRODUCT(((AC$4:AC$50="E")+(AC$4:AC$50="EL")+(AC$4:AC$50="OC-E")+(AC$4:AC$50="OC-EL")+(AC$4:AC$50="BH-D"))*$D$4:$D$50)+COUNTIF(AC$4:AC$50,"AG-E")*1</f>
        <v>6.5</v>
      </c>
      <c r="AD54" s="34" t="n">
        <f aca="false">SUMPRODUCT(((AD$4:AD$50="E")+(AD$4:AD$50="EL")+(AD$4:AD$50="OC-E")+(AD$4:AD$50="OC-EL")+(AD$4:AD$50="BH-D"))*$D$4:$D$50)+COUNTIF(AD$4:AD$50,"AG-E")*1</f>
        <v>6</v>
      </c>
      <c r="AE54" s="34" t="n">
        <f aca="false">SUMPRODUCT(((AE$4:AE$50="E")+(AE$4:AE$50="EL")+(AE$4:AE$50="OC-E")+(AE$4:AE$50="OC-EL")+(AE$4:AE$50="BH-D"))*$D$4:$D$50)+COUNTIF(AE$4:AE$50,"AG-E")*1</f>
        <v>6</v>
      </c>
      <c r="AF54" s="34" t="n">
        <f aca="false">SUMPRODUCT(((AF$4:AF$50="E")+(AF$4:AF$50="EL")+(AF$4:AF$50="OC-E")+(AF$4:AF$50="OC-EL")+(AF$4:AF$50="BH-D"))*$D$4:$D$50)+COUNTIF(AF$4:AF$50,"AG-E")*1</f>
        <v>6</v>
      </c>
    </row>
    <row r="55" customFormat="false" ht="15" hidden="false" customHeight="true" outlineLevel="0" collapsed="false">
      <c r="A55" s="8" t="s">
        <v>355</v>
      </c>
      <c r="E55" s="34" t="n">
        <f aca="false">COUNTIF(E$4:E$50,"L")+COUNTIF(E$4:E$50,"EL")+COUNTIF(E$4:E$50,"OC-L")+COUNTIF(E$4:E$50,"OC-EL")+COUNTIF(E$4:E$50,"BH-D")+COUNTIF(E$4:E$50,"AG-L")</f>
        <v>7</v>
      </c>
      <c r="F55" s="34" t="n">
        <f aca="false">COUNTIF(F$4:F$50,"L")+COUNTIF(F$4:F$50,"EL")+COUNTIF(F$4:F$50,"OC-L")+COUNTIF(F$4:F$50,"OC-EL")+COUNTIF(F$4:F$50,"BH-D")+COUNTIF(F$4:F$50,"AG-L")</f>
        <v>7</v>
      </c>
      <c r="G55" s="34" t="n">
        <f aca="false">COUNTIF(G$4:G$50,"L")+COUNTIF(G$4:G$50,"EL")+COUNTIF(G$4:G$50,"OC-L")+COUNTIF(G$4:G$50,"OC-EL")+COUNTIF(G$4:G$50,"BH-D")+COUNTIF(G$4:G$50,"AG-L")</f>
        <v>8</v>
      </c>
      <c r="H55" s="34" t="n">
        <f aca="false">COUNTIF(H$4:H$50,"L")+COUNTIF(H$4:H$50,"EL")+COUNTIF(H$4:H$50,"OC-L")+COUNTIF(H$4:H$50,"OC-EL")+COUNTIF(H$4:H$50,"BH-D")+COUNTIF(H$4:H$50,"AG-L")</f>
        <v>8</v>
      </c>
      <c r="I55" s="34" t="n">
        <f aca="false">COUNTIF(I$4:I$50,"L")+COUNTIF(I$4:I$50,"EL")+COUNTIF(I$4:I$50,"OC-L")+COUNTIF(I$4:I$50,"OC-EL")+COUNTIF(I$4:I$50,"BH-D")+COUNTIF(I$4:I$50,"AG-L")</f>
        <v>7</v>
      </c>
      <c r="J55" s="34" t="n">
        <f aca="false">COUNTIF(J$4:J$50,"L")+COUNTIF(J$4:J$50,"EL")+COUNTIF(J$4:J$50,"OC-L")+COUNTIF(J$4:J$50,"OC-EL")+COUNTIF(J$4:J$50,"BH-D")+COUNTIF(J$4:J$50,"AG-L")</f>
        <v>7</v>
      </c>
      <c r="K55" s="34" t="n">
        <f aca="false">COUNTIF(K$4:K$50,"L")+COUNTIF(K$4:K$50,"EL")+COUNTIF(K$4:K$50,"OC-L")+COUNTIF(K$4:K$50,"OC-EL")+COUNTIF(K$4:K$50,"BH-D")+COUNTIF(K$4:K$50,"AG-L")</f>
        <v>7</v>
      </c>
      <c r="L55" s="34" t="n">
        <f aca="false">COUNTIF(L$4:L$50,"L")+COUNTIF(L$4:L$50,"EL")+COUNTIF(L$4:L$50,"OC-L")+COUNTIF(L$4:L$50,"OC-EL")+COUNTIF(L$4:L$50,"BH-D")+COUNTIF(L$4:L$50,"AG-L")</f>
        <v>8</v>
      </c>
      <c r="M55" s="34" t="n">
        <f aca="false">COUNTIF(M$4:M$50,"L")+COUNTIF(M$4:M$50,"EL")+COUNTIF(M$4:M$50,"OC-L")+COUNTIF(M$4:M$50,"OC-EL")+COUNTIF(M$4:M$50,"BH-D")+COUNTIF(M$4:M$50,"AG-L")</f>
        <v>8</v>
      </c>
      <c r="N55" s="34" t="n">
        <f aca="false">COUNTIF(N$4:N$50,"L")+COUNTIF(N$4:N$50,"EL")+COUNTIF(N$4:N$50,"OC-L")+COUNTIF(N$4:N$50,"OC-EL")+COUNTIF(N$4:N$50,"BH-D")+COUNTIF(N$4:N$50,"AG-L")</f>
        <v>7</v>
      </c>
      <c r="O55" s="34" t="n">
        <f aca="false">COUNTIF(O$4:O$50,"L")+COUNTIF(O$4:O$50,"EL")+COUNTIF(O$4:O$50,"OC-L")+COUNTIF(O$4:O$50,"OC-EL")+COUNTIF(O$4:O$50,"BH-D")+COUNTIF(O$4:O$50,"AG-L")</f>
        <v>7</v>
      </c>
      <c r="P55" s="34" t="n">
        <f aca="false">COUNTIF(P$4:P$50,"L")+COUNTIF(P$4:P$50,"EL")+COUNTIF(P$4:P$50,"OC-L")+COUNTIF(P$4:P$50,"OC-EL")+COUNTIF(P$4:P$50,"BH-D")+COUNTIF(P$4:P$50,"AG-L")</f>
        <v>8</v>
      </c>
      <c r="Q55" s="34" t="n">
        <f aca="false">COUNTIF(Q$4:Q$50,"L")+COUNTIF(Q$4:Q$50,"EL")+COUNTIF(Q$4:Q$50,"OC-L")+COUNTIF(Q$4:Q$50,"OC-EL")+COUNTIF(Q$4:Q$50,"BH-D")+COUNTIF(Q$4:Q$50,"AG-L")</f>
        <v>8</v>
      </c>
      <c r="R55" s="34" t="n">
        <f aca="false">COUNTIF(R$4:R$50,"L")+COUNTIF(R$4:R$50,"EL")+COUNTIF(R$4:R$50,"OC-L")+COUNTIF(R$4:R$50,"OC-EL")+COUNTIF(R$4:R$50,"BH-D")+COUNTIF(R$4:R$50,"AG-L")</f>
        <v>8</v>
      </c>
      <c r="S55" s="34" t="n">
        <f aca="false">COUNTIF(S$4:S$50,"L")+COUNTIF(S$4:S$50,"EL")+COUNTIF(S$4:S$50,"OC-L")+COUNTIF(S$4:S$50,"OC-EL")+COUNTIF(S$4:S$50,"BH-D")+COUNTIF(S$4:S$50,"AG-L")</f>
        <v>7</v>
      </c>
      <c r="T55" s="34" t="n">
        <f aca="false">COUNTIF(T$4:T$50,"L")+COUNTIF(T$4:T$50,"EL")+COUNTIF(T$4:T$50,"OC-L")+COUNTIF(T$4:T$50,"OC-EL")+COUNTIF(T$4:T$50,"BH-D")+COUNTIF(T$4:T$50,"AG-L")</f>
        <v>7</v>
      </c>
      <c r="U55" s="34" t="n">
        <f aca="false">COUNTIF(U$4:U$50,"L")+COUNTIF(U$4:U$50,"EL")+COUNTIF(U$4:U$50,"OC-L")+COUNTIF(U$4:U$50,"OC-EL")+COUNTIF(U$4:U$50,"BH-D")+COUNTIF(U$4:U$50,"AG-L")</f>
        <v>8</v>
      </c>
      <c r="V55" s="34" t="n">
        <f aca="false">COUNTIF(V$4:V$50,"L")+COUNTIF(V$4:V$50,"EL")+COUNTIF(V$4:V$50,"OC-L")+COUNTIF(V$4:V$50,"OC-EL")+COUNTIF(V$4:V$50,"BH-D")+COUNTIF(V$4:V$50,"AG-L")</f>
        <v>8</v>
      </c>
      <c r="W55" s="34" t="n">
        <f aca="false">COUNTIF(W$4:W$50,"L")+COUNTIF(W$4:W$50,"EL")+COUNTIF(W$4:W$50,"OC-L")+COUNTIF(W$4:W$50,"OC-EL")+COUNTIF(W$4:W$50,"BH-D")+COUNTIF(W$4:W$50,"AG-L")</f>
        <v>7</v>
      </c>
      <c r="X55" s="34" t="n">
        <f aca="false">COUNTIF(X$4:X$50,"L")+COUNTIF(X$4:X$50,"EL")+COUNTIF(X$4:X$50,"OC-L")+COUNTIF(X$4:X$50,"OC-EL")+COUNTIF(X$4:X$50,"BH-D")+COUNTIF(X$4:X$50,"AG-L")</f>
        <v>7</v>
      </c>
      <c r="Y55" s="34" t="n">
        <f aca="false">COUNTIF(Y$4:Y$50,"L")+COUNTIF(Y$4:Y$50,"EL")+COUNTIF(Y$4:Y$50,"OC-L")+COUNTIF(Y$4:Y$50,"OC-EL")+COUNTIF(Y$4:Y$50,"BH-D")+COUNTIF(Y$4:Y$50,"AG-L")</f>
        <v>7</v>
      </c>
      <c r="Z55" s="34" t="n">
        <f aca="false">COUNTIF(Z$4:Z$50,"L")+COUNTIF(Z$4:Z$50,"EL")+COUNTIF(Z$4:Z$50,"OC-L")+COUNTIF(Z$4:Z$50,"OC-EL")+COUNTIF(Z$4:Z$50,"BH-D")+COUNTIF(Z$4:Z$50,"AG-L")</f>
        <v>8</v>
      </c>
      <c r="AA55" s="34" t="n">
        <f aca="false">COUNTIF(AA$4:AA$50,"L")+COUNTIF(AA$4:AA$50,"EL")+COUNTIF(AA$4:AA$50,"OC-L")+COUNTIF(AA$4:AA$50,"OC-EL")+COUNTIF(AA$4:AA$50,"BH-D")+COUNTIF(AA$4:AA$50,"AG-L")</f>
        <v>8</v>
      </c>
      <c r="AB55" s="34" t="n">
        <f aca="false">COUNTIF(AB$4:AB$50,"L")+COUNTIF(AB$4:AB$50,"EL")+COUNTIF(AB$4:AB$50,"OC-L")+COUNTIF(AB$4:AB$50,"OC-EL")+COUNTIF(AB$4:AB$50,"BH-D")+COUNTIF(AB$4:AB$50,"AG-L")</f>
        <v>7</v>
      </c>
      <c r="AC55" s="34" t="n">
        <f aca="false">COUNTIF(AC$4:AC$50,"L")+COUNTIF(AC$4:AC$50,"EL")+COUNTIF(AC$4:AC$50,"OC-L")+COUNTIF(AC$4:AC$50,"OC-EL")+COUNTIF(AC$4:AC$50,"BH-D")+COUNTIF(AC$4:AC$50,"AG-L")</f>
        <v>7</v>
      </c>
      <c r="AD55" s="34" t="n">
        <f aca="false">COUNTIF(AD$4:AD$50,"L")+COUNTIF(AD$4:AD$50,"EL")+COUNTIF(AD$4:AD$50,"OC-L")+COUNTIF(AD$4:AD$50,"OC-EL")+COUNTIF(AD$4:AD$50,"BH-D")+COUNTIF(AD$4:AD$50,"AG-L")</f>
        <v>8</v>
      </c>
      <c r="AE55" s="34" t="n">
        <f aca="false">COUNTIF(AE$4:AE$50,"L")+COUNTIF(AE$4:AE$50,"EL")+COUNTIF(AE$4:AE$50,"OC-L")+COUNTIF(AE$4:AE$50,"OC-EL")+COUNTIF(AE$4:AE$50,"BH-D")+COUNTIF(AE$4:AE$50,"AG-L")</f>
        <v>8</v>
      </c>
      <c r="AF55" s="34" t="n">
        <f aca="false">COUNTIF(AF$4:AF$50,"L")+COUNTIF(AF$4:AF$50,"EL")+COUNTIF(AF$4:AF$50,"OC-L")+COUNTIF(AF$4:AF$50,"OC-EL")+COUNTIF(AF$4:AF$50,"BH-D")+COUNTIF(AF$4:AF$50,"AG-L")</f>
        <v>8</v>
      </c>
    </row>
    <row r="56" customFormat="false" ht="15" hidden="false" customHeight="true" outlineLevel="0" collapsed="false">
      <c r="A56" s="8" t="s">
        <v>356</v>
      </c>
      <c r="E56" s="34" t="n">
        <f aca="false">SUMPRODUCT(((E$4:E$50="L")+(E$4:E$50="EL")+(E$4:E$50="OC-L")+(E$4:E$50="OC-EL")+(E$4:E$50="BH-D"))*$D$4:$D$50)+COUNTIF(E$4:E$50,"AG-L")*1</f>
        <v>6</v>
      </c>
      <c r="F56" s="34" t="n">
        <f aca="false">SUMPRODUCT(((F$4:F$50="L")+(F$4:F$50="EL")+(F$4:F$50="OC-L")+(F$4:F$50="OC-EL")+(F$4:F$50="BH-D"))*$D$4:$D$50)+COUNTIF(F$4:F$50,"AG-L")*1</f>
        <v>6</v>
      </c>
      <c r="G56" s="34" t="n">
        <f aca="false">SUMPRODUCT(((G$4:G$50="L")+(G$4:G$50="EL")+(G$4:G$50="OC-L")+(G$4:G$50="OC-EL")+(G$4:G$50="BH-D"))*$D$4:$D$50)+COUNTIF(G$4:G$50,"AG-L")*1</f>
        <v>7</v>
      </c>
      <c r="H56" s="34" t="n">
        <f aca="false">SUMPRODUCT(((H$4:H$50="L")+(H$4:H$50="EL")+(H$4:H$50="OC-L")+(H$4:H$50="OC-EL")+(H$4:H$50="BH-D"))*$D$4:$D$50)+COUNTIF(H$4:H$50,"AG-L")*1</f>
        <v>7</v>
      </c>
      <c r="I56" s="34" t="n">
        <f aca="false">SUMPRODUCT(((I$4:I$50="L")+(I$4:I$50="EL")+(I$4:I$50="OC-L")+(I$4:I$50="OC-EL")+(I$4:I$50="BH-D"))*$D$4:$D$50)+COUNTIF(I$4:I$50,"AG-L")*1</f>
        <v>6</v>
      </c>
      <c r="J56" s="34" t="n">
        <f aca="false">SUMPRODUCT(((J$4:J$50="L")+(J$4:J$50="EL")+(J$4:J$50="OC-L")+(J$4:J$50="OC-EL")+(J$4:J$50="BH-D"))*$D$4:$D$50)+COUNTIF(J$4:J$50,"AG-L")*1</f>
        <v>6</v>
      </c>
      <c r="K56" s="34" t="n">
        <f aca="false">SUMPRODUCT(((K$4:K$50="L")+(K$4:K$50="EL")+(K$4:K$50="OC-L")+(K$4:K$50="OC-EL")+(K$4:K$50="BH-D"))*$D$4:$D$50)+COUNTIF(K$4:K$50,"AG-L")*1</f>
        <v>6</v>
      </c>
      <c r="L56" s="34" t="n">
        <f aca="false">SUMPRODUCT(((L$4:L$50="L")+(L$4:L$50="EL")+(L$4:L$50="OC-L")+(L$4:L$50="OC-EL")+(L$4:L$50="BH-D"))*$D$4:$D$50)+COUNTIF(L$4:L$50,"AG-L")*1</f>
        <v>7</v>
      </c>
      <c r="M56" s="34" t="n">
        <f aca="false">SUMPRODUCT(((M$4:M$50="L")+(M$4:M$50="EL")+(M$4:M$50="OC-L")+(M$4:M$50="OC-EL")+(M$4:M$50="BH-D"))*$D$4:$D$50)+COUNTIF(M$4:M$50,"AG-L")*1</f>
        <v>7</v>
      </c>
      <c r="N56" s="34" t="n">
        <f aca="false">SUMPRODUCT(((N$4:N$50="L")+(N$4:N$50="EL")+(N$4:N$50="OC-L")+(N$4:N$50="OC-EL")+(N$4:N$50="BH-D"))*$D$4:$D$50)+COUNTIF(N$4:N$50,"AG-L")*1</f>
        <v>6</v>
      </c>
      <c r="O56" s="34" t="n">
        <f aca="false">SUMPRODUCT(((O$4:O$50="L")+(O$4:O$50="EL")+(O$4:O$50="OC-L")+(O$4:O$50="OC-EL")+(O$4:O$50="BH-D"))*$D$4:$D$50)+COUNTIF(O$4:O$50,"AG-L")*1</f>
        <v>6</v>
      </c>
      <c r="P56" s="34" t="n">
        <f aca="false">SUMPRODUCT(((P$4:P$50="L")+(P$4:P$50="EL")+(P$4:P$50="OC-L")+(P$4:P$50="OC-EL")+(P$4:P$50="BH-D"))*$D$4:$D$50)+COUNTIF(P$4:P$50,"AG-L")*1</f>
        <v>7</v>
      </c>
      <c r="Q56" s="34" t="n">
        <f aca="false">SUMPRODUCT(((Q$4:Q$50="L")+(Q$4:Q$50="EL")+(Q$4:Q$50="OC-L")+(Q$4:Q$50="OC-EL")+(Q$4:Q$50="BH-D"))*$D$4:$D$50)+COUNTIF(Q$4:Q$50,"AG-L")*1</f>
        <v>7</v>
      </c>
      <c r="R56" s="34" t="n">
        <f aca="false">SUMPRODUCT(((R$4:R$50="L")+(R$4:R$50="EL")+(R$4:R$50="OC-L")+(R$4:R$50="OC-EL")+(R$4:R$50="BH-D"))*$D$4:$D$50)+COUNTIF(R$4:R$50,"AG-L")*1</f>
        <v>7</v>
      </c>
      <c r="S56" s="34" t="n">
        <f aca="false">SUMPRODUCT(((S$4:S$50="L")+(S$4:S$50="EL")+(S$4:S$50="OC-L")+(S$4:S$50="OC-EL")+(S$4:S$50="BH-D"))*$D$4:$D$50)+COUNTIF(S$4:S$50,"AG-L")*1</f>
        <v>6</v>
      </c>
      <c r="T56" s="34" t="n">
        <f aca="false">SUMPRODUCT(((T$4:T$50="L")+(T$4:T$50="EL")+(T$4:T$50="OC-L")+(T$4:T$50="OC-EL")+(T$4:T$50="BH-D"))*$D$4:$D$50)+COUNTIF(T$4:T$50,"AG-L")*1</f>
        <v>6</v>
      </c>
      <c r="U56" s="34" t="n">
        <f aca="false">SUMPRODUCT(((U$4:U$50="L")+(U$4:U$50="EL")+(U$4:U$50="OC-L")+(U$4:U$50="OC-EL")+(U$4:U$50="BH-D"))*$D$4:$D$50)+COUNTIF(U$4:U$50,"AG-L")*1</f>
        <v>7</v>
      </c>
      <c r="V56" s="34" t="n">
        <f aca="false">SUMPRODUCT(((V$4:V$50="L")+(V$4:V$50="EL")+(V$4:V$50="OC-L")+(V$4:V$50="OC-EL")+(V$4:V$50="BH-D"))*$D$4:$D$50)+COUNTIF(V$4:V$50,"AG-L")*1</f>
        <v>7</v>
      </c>
      <c r="W56" s="34" t="n">
        <f aca="false">SUMPRODUCT(((W$4:W$50="L")+(W$4:W$50="EL")+(W$4:W$50="OC-L")+(W$4:W$50="OC-EL")+(W$4:W$50="BH-D"))*$D$4:$D$50)+COUNTIF(W$4:W$50,"AG-L")*1</f>
        <v>6</v>
      </c>
      <c r="X56" s="34" t="n">
        <f aca="false">SUMPRODUCT(((X$4:X$50="L")+(X$4:X$50="EL")+(X$4:X$50="OC-L")+(X$4:X$50="OC-EL")+(X$4:X$50="BH-D"))*$D$4:$D$50)+COUNTIF(X$4:X$50,"AG-L")*1</f>
        <v>6</v>
      </c>
      <c r="Y56" s="34" t="n">
        <f aca="false">SUMPRODUCT(((Y$4:Y$50="L")+(Y$4:Y$50="EL")+(Y$4:Y$50="OC-L")+(Y$4:Y$50="OC-EL")+(Y$4:Y$50="BH-D"))*$D$4:$D$50)+COUNTIF(Y$4:Y$50,"AG-L")*1</f>
        <v>6</v>
      </c>
      <c r="Z56" s="34" t="n">
        <f aca="false">SUMPRODUCT(((Z$4:Z$50="L")+(Z$4:Z$50="EL")+(Z$4:Z$50="OC-L")+(Z$4:Z$50="OC-EL")+(Z$4:Z$50="BH-D"))*$D$4:$D$50)+COUNTIF(Z$4:Z$50,"AG-L")*1</f>
        <v>7</v>
      </c>
      <c r="AA56" s="34" t="n">
        <f aca="false">SUMPRODUCT(((AA$4:AA$50="L")+(AA$4:AA$50="EL")+(AA$4:AA$50="OC-L")+(AA$4:AA$50="OC-EL")+(AA$4:AA$50="BH-D"))*$D$4:$D$50)+COUNTIF(AA$4:AA$50,"AG-L")*1</f>
        <v>7</v>
      </c>
      <c r="AB56" s="34" t="n">
        <f aca="false">SUMPRODUCT(((AB$4:AB$50="L")+(AB$4:AB$50="EL")+(AB$4:AB$50="OC-L")+(AB$4:AB$50="OC-EL")+(AB$4:AB$50="BH-D"))*$D$4:$D$50)+COUNTIF(AB$4:AB$50,"AG-L")*1</f>
        <v>6</v>
      </c>
      <c r="AC56" s="34" t="n">
        <f aca="false">SUMPRODUCT(((AC$4:AC$50="L")+(AC$4:AC$50="EL")+(AC$4:AC$50="OC-L")+(AC$4:AC$50="OC-EL")+(AC$4:AC$50="BH-D"))*$D$4:$D$50)+COUNTIF(AC$4:AC$50,"AG-L")*1</f>
        <v>6</v>
      </c>
      <c r="AD56" s="34" t="n">
        <f aca="false">SUMPRODUCT(((AD$4:AD$50="L")+(AD$4:AD$50="EL")+(AD$4:AD$50="OC-L")+(AD$4:AD$50="OC-EL")+(AD$4:AD$50="BH-D"))*$D$4:$D$50)+COUNTIF(AD$4:AD$50,"AG-L")*1</f>
        <v>7</v>
      </c>
      <c r="AE56" s="34" t="n">
        <f aca="false">SUMPRODUCT(((AE$4:AE$50="L")+(AE$4:AE$50="EL")+(AE$4:AE$50="OC-L")+(AE$4:AE$50="OC-EL")+(AE$4:AE$50="BH-D"))*$D$4:$D$50)+COUNTIF(AE$4:AE$50,"AG-L")*1</f>
        <v>7</v>
      </c>
      <c r="AF56" s="34" t="n">
        <f aca="false">SUMPRODUCT(((AF$4:AF$50="L")+(AF$4:AF$50="EL")+(AF$4:AF$50="OC-L")+(AF$4:AF$50="OC-EL")+(AF$4:AF$50="BH-D"))*$D$4:$D$50)+COUNTIF(AF$4:AF$50,"AG-L")*1</f>
        <v>7</v>
      </c>
    </row>
    <row r="57" customFormat="false" ht="15" hidden="false" customHeight="true" outlineLevel="0" collapsed="false">
      <c r="A57" s="8" t="s">
        <v>357</v>
      </c>
      <c r="E57" s="34" t="n">
        <f aca="false">COUNTIF(E$4:E$50,"N")+COUNTIF(E$4:E$50,"OC-N")+COUNTIF(E$4:E$50,"BH-N")+COUNTIF(E$4:E$50,"AG-N")</f>
        <v>3</v>
      </c>
      <c r="F57" s="34" t="n">
        <f aca="false">COUNTIF(F$4:F$50,"N")+COUNTIF(F$4:F$50,"OC-N")+COUNTIF(F$4:F$50,"BH-N")+COUNTIF(F$4:F$50,"AG-N")</f>
        <v>3</v>
      </c>
      <c r="G57" s="34" t="n">
        <f aca="false">COUNTIF(G$4:G$50,"N")+COUNTIF(G$4:G$50,"OC-N")+COUNTIF(G$4:G$50,"BH-N")+COUNTIF(G$4:G$50,"AG-N")</f>
        <v>3</v>
      </c>
      <c r="H57" s="34" t="n">
        <f aca="false">COUNTIF(H$4:H$50,"N")+COUNTIF(H$4:H$50,"OC-N")+COUNTIF(H$4:H$50,"BH-N")+COUNTIF(H$4:H$50,"AG-N")</f>
        <v>3</v>
      </c>
      <c r="I57" s="34" t="n">
        <f aca="false">COUNTIF(I$4:I$50,"N")+COUNTIF(I$4:I$50,"OC-N")+COUNTIF(I$4:I$50,"BH-N")+COUNTIF(I$4:I$50,"AG-N")</f>
        <v>3</v>
      </c>
      <c r="J57" s="34" t="n">
        <f aca="false">COUNTIF(J$4:J$50,"N")+COUNTIF(J$4:J$50,"OC-N")+COUNTIF(J$4:J$50,"BH-N")+COUNTIF(J$4:J$50,"AG-N")</f>
        <v>3</v>
      </c>
      <c r="K57" s="34" t="n">
        <f aca="false">COUNTIF(K$4:K$50,"N")+COUNTIF(K$4:K$50,"OC-N")+COUNTIF(K$4:K$50,"BH-N")+COUNTIF(K$4:K$50,"AG-N")</f>
        <v>3</v>
      </c>
      <c r="L57" s="34" t="n">
        <f aca="false">COUNTIF(L$4:L$50,"N")+COUNTIF(L$4:L$50,"OC-N")+COUNTIF(L$4:L$50,"BH-N")+COUNTIF(L$4:L$50,"AG-N")</f>
        <v>3</v>
      </c>
      <c r="M57" s="34" t="n">
        <f aca="false">COUNTIF(M$4:M$50,"N")+COUNTIF(M$4:M$50,"OC-N")+COUNTIF(M$4:M$50,"BH-N")+COUNTIF(M$4:M$50,"AG-N")</f>
        <v>3</v>
      </c>
      <c r="N57" s="34" t="n">
        <f aca="false">COUNTIF(N$4:N$50,"N")+COUNTIF(N$4:N$50,"OC-N")+COUNTIF(N$4:N$50,"BH-N")+COUNTIF(N$4:N$50,"AG-N")</f>
        <v>3</v>
      </c>
      <c r="O57" s="34" t="n">
        <f aca="false">COUNTIF(O$4:O$50,"N")+COUNTIF(O$4:O$50,"OC-N")+COUNTIF(O$4:O$50,"BH-N")+COUNTIF(O$4:O$50,"AG-N")</f>
        <v>3</v>
      </c>
      <c r="P57" s="34" t="n">
        <f aca="false">COUNTIF(P$4:P$50,"N")+COUNTIF(P$4:P$50,"OC-N")+COUNTIF(P$4:P$50,"BH-N")+COUNTIF(P$4:P$50,"AG-N")</f>
        <v>3</v>
      </c>
      <c r="Q57" s="34" t="n">
        <f aca="false">COUNTIF(Q$4:Q$50,"N")+COUNTIF(Q$4:Q$50,"OC-N")+COUNTIF(Q$4:Q$50,"BH-N")+COUNTIF(Q$4:Q$50,"AG-N")</f>
        <v>3</v>
      </c>
      <c r="R57" s="34" t="n">
        <f aca="false">COUNTIF(R$4:R$50,"N")+COUNTIF(R$4:R$50,"OC-N")+COUNTIF(R$4:R$50,"BH-N")+COUNTIF(R$4:R$50,"AG-N")</f>
        <v>3</v>
      </c>
      <c r="S57" s="34" t="n">
        <f aca="false">COUNTIF(S$4:S$50,"N")+COUNTIF(S$4:S$50,"OC-N")+COUNTIF(S$4:S$50,"BH-N")+COUNTIF(S$4:S$50,"AG-N")</f>
        <v>3</v>
      </c>
      <c r="T57" s="34" t="n">
        <f aca="false">COUNTIF(T$4:T$50,"N")+COUNTIF(T$4:T$50,"OC-N")+COUNTIF(T$4:T$50,"BH-N")+COUNTIF(T$4:T$50,"AG-N")</f>
        <v>3</v>
      </c>
      <c r="U57" s="34" t="n">
        <f aca="false">COUNTIF(U$4:U$50,"N")+COUNTIF(U$4:U$50,"OC-N")+COUNTIF(U$4:U$50,"BH-N")+COUNTIF(U$4:U$50,"AG-N")</f>
        <v>3</v>
      </c>
      <c r="V57" s="34" t="n">
        <f aca="false">COUNTIF(V$4:V$50,"N")+COUNTIF(V$4:V$50,"OC-N")+COUNTIF(V$4:V$50,"BH-N")+COUNTIF(V$4:V$50,"AG-N")</f>
        <v>3</v>
      </c>
      <c r="W57" s="34" t="n">
        <f aca="false">COUNTIF(W$4:W$50,"N")+COUNTIF(W$4:W$50,"OC-N")+COUNTIF(W$4:W$50,"BH-N")+COUNTIF(W$4:W$50,"AG-N")</f>
        <v>3</v>
      </c>
      <c r="X57" s="34" t="n">
        <f aca="false">COUNTIF(X$4:X$50,"N")+COUNTIF(X$4:X$50,"OC-N")+COUNTIF(X$4:X$50,"BH-N")+COUNTIF(X$4:X$50,"AG-N")</f>
        <v>3</v>
      </c>
      <c r="Y57" s="34" t="n">
        <f aca="false">COUNTIF(Y$4:Y$50,"N")+COUNTIF(Y$4:Y$50,"OC-N")+COUNTIF(Y$4:Y$50,"BH-N")+COUNTIF(Y$4:Y$50,"AG-N")</f>
        <v>3</v>
      </c>
      <c r="Z57" s="34" t="n">
        <f aca="false">COUNTIF(Z$4:Z$50,"N")+COUNTIF(Z$4:Z$50,"OC-N")+COUNTIF(Z$4:Z$50,"BH-N")+COUNTIF(Z$4:Z$50,"AG-N")</f>
        <v>3</v>
      </c>
      <c r="AA57" s="34" t="n">
        <f aca="false">COUNTIF(AA$4:AA$50,"N")+COUNTIF(AA$4:AA$50,"OC-N")+COUNTIF(AA$4:AA$50,"BH-N")+COUNTIF(AA$4:AA$50,"AG-N")</f>
        <v>3</v>
      </c>
      <c r="AB57" s="34" t="n">
        <f aca="false">COUNTIF(AB$4:AB$50,"N")+COUNTIF(AB$4:AB$50,"OC-N")+COUNTIF(AB$4:AB$50,"BH-N")+COUNTIF(AB$4:AB$50,"AG-N")</f>
        <v>3</v>
      </c>
      <c r="AC57" s="34" t="n">
        <f aca="false">COUNTIF(AC$4:AC$50,"N")+COUNTIF(AC$4:AC$50,"OC-N")+COUNTIF(AC$4:AC$50,"BH-N")+COUNTIF(AC$4:AC$50,"AG-N")</f>
        <v>3</v>
      </c>
      <c r="AD57" s="34" t="n">
        <f aca="false">COUNTIF(AD$4:AD$50,"N")+COUNTIF(AD$4:AD$50,"OC-N")+COUNTIF(AD$4:AD$50,"BH-N")+COUNTIF(AD$4:AD$50,"AG-N")</f>
        <v>3</v>
      </c>
      <c r="AE57" s="34" t="n">
        <f aca="false">COUNTIF(AE$4:AE$50,"N")+COUNTIF(AE$4:AE$50,"OC-N")+COUNTIF(AE$4:AE$50,"BH-N")+COUNTIF(AE$4:AE$50,"AG-N")</f>
        <v>3</v>
      </c>
      <c r="AF57" s="34" t="n">
        <f aca="false">COUNTIF(AF$4:AF$50,"N")+COUNTIF(AF$4:AF$50,"OC-N")+COUNTIF(AF$4:AF$50,"BH-N")+COUNTIF(AF$4:AF$50,"AG-N")</f>
        <v>3</v>
      </c>
    </row>
    <row r="58" customFormat="false" ht="15" hidden="false" customHeight="true" outlineLevel="0" collapsed="false">
      <c r="A58" s="8" t="s">
        <v>358</v>
      </c>
      <c r="E58" s="34" t="n">
        <f aca="false">SUMPRODUCT(((E$4:E$50="N")+(E$4:E$50="OC-N")+(E$4:E$50="BH-N"))*$D$4:$D$50)+COUNTIF(E$4:E$50,"AG-N")*1</f>
        <v>2</v>
      </c>
      <c r="F58" s="34" t="n">
        <f aca="false">SUMPRODUCT(((F$4:F$50="N")+(F$4:F$50="OC-N")+(F$4:F$50="BH-N"))*$D$4:$D$50)+COUNTIF(F$4:F$50,"AG-N")*1</f>
        <v>2</v>
      </c>
      <c r="G58" s="34" t="n">
        <f aca="false">SUMPRODUCT(((G$4:G$50="N")+(G$4:G$50="OC-N")+(G$4:G$50="BH-N"))*$D$4:$D$50)+COUNTIF(G$4:G$50,"AG-N")*1</f>
        <v>2</v>
      </c>
      <c r="H58" s="34" t="n">
        <f aca="false">SUMPRODUCT(((H$4:H$50="N")+(H$4:H$50="OC-N")+(H$4:H$50="BH-N"))*$D$4:$D$50)+COUNTIF(H$4:H$50,"AG-N")*1</f>
        <v>2</v>
      </c>
      <c r="I58" s="34" t="n">
        <f aca="false">SUMPRODUCT(((I$4:I$50="N")+(I$4:I$50="OC-N")+(I$4:I$50="BH-N"))*$D$4:$D$50)+COUNTIF(I$4:I$50,"AG-N")*1</f>
        <v>2</v>
      </c>
      <c r="J58" s="34" t="n">
        <f aca="false">SUMPRODUCT(((J$4:J$50="N")+(J$4:J$50="OC-N")+(J$4:J$50="BH-N"))*$D$4:$D$50)+COUNTIF(J$4:J$50,"AG-N")*1</f>
        <v>2</v>
      </c>
      <c r="K58" s="34" t="n">
        <f aca="false">SUMPRODUCT(((K$4:K$50="N")+(K$4:K$50="OC-N")+(K$4:K$50="BH-N"))*$D$4:$D$50)+COUNTIF(K$4:K$50,"AG-N")*1</f>
        <v>2</v>
      </c>
      <c r="L58" s="34" t="n">
        <f aca="false">SUMPRODUCT(((L$4:L$50="N")+(L$4:L$50="OC-N")+(L$4:L$50="BH-N"))*$D$4:$D$50)+COUNTIF(L$4:L$50,"AG-N")*1</f>
        <v>2</v>
      </c>
      <c r="M58" s="34" t="n">
        <f aca="false">SUMPRODUCT(((M$4:M$50="N")+(M$4:M$50="OC-N")+(M$4:M$50="BH-N"))*$D$4:$D$50)+COUNTIF(M$4:M$50,"AG-N")*1</f>
        <v>2</v>
      </c>
      <c r="N58" s="34" t="n">
        <f aca="false">SUMPRODUCT(((N$4:N$50="N")+(N$4:N$50="OC-N")+(N$4:N$50="BH-N"))*$D$4:$D$50)+COUNTIF(N$4:N$50,"AG-N")*1</f>
        <v>2</v>
      </c>
      <c r="O58" s="34" t="n">
        <f aca="false">SUMPRODUCT(((O$4:O$50="N")+(O$4:O$50="OC-N")+(O$4:O$50="BH-N"))*$D$4:$D$50)+COUNTIF(O$4:O$50,"AG-N")*1</f>
        <v>2</v>
      </c>
      <c r="P58" s="34" t="n">
        <f aca="false">SUMPRODUCT(((P$4:P$50="N")+(P$4:P$50="OC-N")+(P$4:P$50="BH-N"))*$D$4:$D$50)+COUNTIF(P$4:P$50,"AG-N")*1</f>
        <v>2</v>
      </c>
      <c r="Q58" s="34" t="n">
        <f aca="false">SUMPRODUCT(((Q$4:Q$50="N")+(Q$4:Q$50="OC-N")+(Q$4:Q$50="BH-N"))*$D$4:$D$50)+COUNTIF(Q$4:Q$50,"AG-N")*1</f>
        <v>2</v>
      </c>
      <c r="R58" s="34" t="n">
        <f aca="false">SUMPRODUCT(((R$4:R$50="N")+(R$4:R$50="OC-N")+(R$4:R$50="BH-N"))*$D$4:$D$50)+COUNTIF(R$4:R$50,"AG-N")*1</f>
        <v>2</v>
      </c>
      <c r="S58" s="34" t="n">
        <f aca="false">SUMPRODUCT(((S$4:S$50="N")+(S$4:S$50="OC-N")+(S$4:S$50="BH-N"))*$D$4:$D$50)+COUNTIF(S$4:S$50,"AG-N")*1</f>
        <v>2</v>
      </c>
      <c r="T58" s="34" t="n">
        <f aca="false">SUMPRODUCT(((T$4:T$50="N")+(T$4:T$50="OC-N")+(T$4:T$50="BH-N"))*$D$4:$D$50)+COUNTIF(T$4:T$50,"AG-N")*1</f>
        <v>2</v>
      </c>
      <c r="U58" s="34" t="n">
        <f aca="false">SUMPRODUCT(((U$4:U$50="N")+(U$4:U$50="OC-N")+(U$4:U$50="BH-N"))*$D$4:$D$50)+COUNTIF(U$4:U$50,"AG-N")*1</f>
        <v>2</v>
      </c>
      <c r="V58" s="34" t="n">
        <f aca="false">SUMPRODUCT(((V$4:V$50="N")+(V$4:V$50="OC-N")+(V$4:V$50="BH-N"))*$D$4:$D$50)+COUNTIF(V$4:V$50,"AG-N")*1</f>
        <v>2</v>
      </c>
      <c r="W58" s="34" t="n">
        <f aca="false">SUMPRODUCT(((W$4:W$50="N")+(W$4:W$50="OC-N")+(W$4:W$50="BH-N"))*$D$4:$D$50)+COUNTIF(W$4:W$50,"AG-N")*1</f>
        <v>2</v>
      </c>
      <c r="X58" s="34" t="n">
        <f aca="false">SUMPRODUCT(((X$4:X$50="N")+(X$4:X$50="OC-N")+(X$4:X$50="BH-N"))*$D$4:$D$50)+COUNTIF(X$4:X$50,"AG-N")*1</f>
        <v>2</v>
      </c>
      <c r="Y58" s="34" t="n">
        <f aca="false">SUMPRODUCT(((Y$4:Y$50="N")+(Y$4:Y$50="OC-N")+(Y$4:Y$50="BH-N"))*$D$4:$D$50)+COUNTIF(Y$4:Y$50,"AG-N")*1</f>
        <v>2</v>
      </c>
      <c r="Z58" s="34" t="n">
        <f aca="false">SUMPRODUCT(((Z$4:Z$50="N")+(Z$4:Z$50="OC-N")+(Z$4:Z$50="BH-N"))*$D$4:$D$50)+COUNTIF(Z$4:Z$50,"AG-N")*1</f>
        <v>2</v>
      </c>
      <c r="AA58" s="34" t="n">
        <f aca="false">SUMPRODUCT(((AA$4:AA$50="N")+(AA$4:AA$50="OC-N")+(AA$4:AA$50="BH-N"))*$D$4:$D$50)+COUNTIF(AA$4:AA$50,"AG-N")*1</f>
        <v>2</v>
      </c>
      <c r="AB58" s="34" t="n">
        <f aca="false">SUMPRODUCT(((AB$4:AB$50="N")+(AB$4:AB$50="OC-N")+(AB$4:AB$50="BH-N"))*$D$4:$D$50)+COUNTIF(AB$4:AB$50,"AG-N")*1</f>
        <v>2</v>
      </c>
      <c r="AC58" s="34" t="n">
        <f aca="false">SUMPRODUCT(((AC$4:AC$50="N")+(AC$4:AC$50="OC-N")+(AC$4:AC$50="BH-N"))*$D$4:$D$50)+COUNTIF(AC$4:AC$50,"AG-N")*1</f>
        <v>2</v>
      </c>
      <c r="AD58" s="34" t="n">
        <f aca="false">SUMPRODUCT(((AD$4:AD$50="N")+(AD$4:AD$50="OC-N")+(AD$4:AD$50="BH-N"))*$D$4:$D$50)+COUNTIF(AD$4:AD$50,"AG-N")*1</f>
        <v>2</v>
      </c>
      <c r="AE58" s="34" t="n">
        <f aca="false">SUMPRODUCT(((AE$4:AE$50="N")+(AE$4:AE$50="OC-N")+(AE$4:AE$50="BH-N"))*$D$4:$D$50)+COUNTIF(AE$4:AE$50,"AG-N")*1</f>
        <v>2</v>
      </c>
      <c r="AF58" s="34" t="n">
        <f aca="false">SUMPRODUCT(((AF$4:AF$50="N")+(AF$4:AF$50="OC-N")+(AF$4:AF$50="BH-N"))*$D$4:$D$50)+COUNTIF(AF$4:AF$50,"AG-N")*1</f>
        <v>2</v>
      </c>
    </row>
    <row r="59" customFormat="false" ht="15" hidden="false" customHeight="true" outlineLevel="0" collapsed="false">
      <c r="A59" s="8" t="s">
        <v>359</v>
      </c>
      <c r="E59" s="34" t="n">
        <f aca="false">COUNTIF(E$4:E$50,"AL")</f>
        <v>0</v>
      </c>
      <c r="F59" s="34" t="n">
        <f aca="false">COUNTIF(F$4:F$50,"AL")</f>
        <v>0</v>
      </c>
      <c r="G59" s="34" t="n">
        <f aca="false">COUNTIF(G$4:G$50,"AL")</f>
        <v>0</v>
      </c>
      <c r="H59" s="34" t="n">
        <f aca="false">COUNTIF(H$4:H$50,"AL")</f>
        <v>0</v>
      </c>
      <c r="I59" s="34" t="n">
        <f aca="false">COUNTIF(I$4:I$50,"AL")</f>
        <v>0</v>
      </c>
      <c r="J59" s="34" t="n">
        <f aca="false">COUNTIF(J$4:J$50,"AL")</f>
        <v>0</v>
      </c>
      <c r="K59" s="34" t="n">
        <f aca="false">COUNTIF(K$4:K$50,"AL")</f>
        <v>0</v>
      </c>
      <c r="L59" s="34" t="n">
        <f aca="false">COUNTIF(L$4:L$50,"AL")</f>
        <v>0</v>
      </c>
      <c r="M59" s="34" t="n">
        <f aca="false">COUNTIF(M$4:M$50,"AL")</f>
        <v>0</v>
      </c>
      <c r="N59" s="34" t="n">
        <f aca="false">COUNTIF(N$4:N$50,"AL")</f>
        <v>0</v>
      </c>
      <c r="O59" s="34" t="n">
        <f aca="false">COUNTIF(O$4:O$50,"AL")</f>
        <v>0</v>
      </c>
      <c r="P59" s="34" t="n">
        <f aca="false">COUNTIF(P$4:P$50,"AL")</f>
        <v>0</v>
      </c>
      <c r="Q59" s="34" t="n">
        <f aca="false">COUNTIF(Q$4:Q$50,"AL")</f>
        <v>0</v>
      </c>
      <c r="R59" s="34" t="n">
        <f aca="false">COUNTIF(R$4:R$50,"AL")</f>
        <v>0</v>
      </c>
      <c r="S59" s="34" t="n">
        <f aca="false">COUNTIF(S$4:S$50,"AL")</f>
        <v>0</v>
      </c>
      <c r="T59" s="34" t="n">
        <f aca="false">COUNTIF(T$4:T$50,"AL")</f>
        <v>0</v>
      </c>
      <c r="U59" s="34" t="n">
        <f aca="false">COUNTIF(U$4:U$50,"AL")</f>
        <v>0</v>
      </c>
      <c r="V59" s="34" t="n">
        <f aca="false">COUNTIF(V$4:V$50,"AL")</f>
        <v>0</v>
      </c>
      <c r="W59" s="34" t="n">
        <f aca="false">COUNTIF(W$4:W$50,"AL")</f>
        <v>0</v>
      </c>
      <c r="X59" s="34" t="n">
        <f aca="false">COUNTIF(X$4:X$50,"AL")</f>
        <v>0</v>
      </c>
      <c r="Y59" s="34" t="n">
        <f aca="false">COUNTIF(Y$4:Y$50,"AL")</f>
        <v>0</v>
      </c>
      <c r="Z59" s="34" t="n">
        <f aca="false">COUNTIF(Z$4:Z$50,"AL")</f>
        <v>0</v>
      </c>
      <c r="AA59" s="34" t="n">
        <f aca="false">COUNTIF(AA$4:AA$50,"AL")</f>
        <v>0</v>
      </c>
      <c r="AB59" s="34" t="n">
        <f aca="false">COUNTIF(AB$4:AB$50,"AL")</f>
        <v>0</v>
      </c>
      <c r="AC59" s="34" t="n">
        <f aca="false">COUNTIF(AC$4:AC$50,"AL")</f>
        <v>0</v>
      </c>
      <c r="AD59" s="34" t="n">
        <f aca="false">COUNTIF(AD$4:AD$50,"AL")</f>
        <v>0</v>
      </c>
      <c r="AE59" s="34" t="n">
        <f aca="false">COUNTIF(AE$4:AE$50,"AL")</f>
        <v>0</v>
      </c>
      <c r="AF59" s="34" t="n">
        <f aca="false">COUNTIF(AF$4:AF$50,"AL")</f>
        <v>0</v>
      </c>
    </row>
    <row r="60" customFormat="false" ht="15" hidden="false" customHeight="true" outlineLevel="0" collapsed="false">
      <c r="A60" s="8" t="s">
        <v>360</v>
      </c>
      <c r="E60" s="34" t="n">
        <f aca="false">COUNTIF(E$4:E$50,"SICK")</f>
        <v>0</v>
      </c>
      <c r="F60" s="34" t="n">
        <f aca="false">COUNTIF(F$4:F$50,"SICK")</f>
        <v>0</v>
      </c>
      <c r="G60" s="34" t="n">
        <f aca="false">COUNTIF(G$4:G$50,"SICK")</f>
        <v>0</v>
      </c>
      <c r="H60" s="34" t="n">
        <f aca="false">COUNTIF(H$4:H$50,"SICK")</f>
        <v>0</v>
      </c>
      <c r="I60" s="34" t="n">
        <f aca="false">COUNTIF(I$4:I$50,"SICK")</f>
        <v>0</v>
      </c>
      <c r="J60" s="34" t="n">
        <f aca="false">COUNTIF(J$4:J$50,"SICK")</f>
        <v>0</v>
      </c>
      <c r="K60" s="34" t="n">
        <f aca="false">COUNTIF(K$4:K$50,"SICK")</f>
        <v>0</v>
      </c>
      <c r="L60" s="34" t="n">
        <f aca="false">COUNTIF(L$4:L$50,"SICK")</f>
        <v>0</v>
      </c>
      <c r="M60" s="34" t="n">
        <f aca="false">COUNTIF(M$4:M$50,"SICK")</f>
        <v>0</v>
      </c>
      <c r="N60" s="34" t="n">
        <f aca="false">COUNTIF(N$4:N$50,"SICK")</f>
        <v>0</v>
      </c>
      <c r="O60" s="34" t="n">
        <f aca="false">COUNTIF(O$4:O$50,"SICK")</f>
        <v>0</v>
      </c>
      <c r="P60" s="34" t="n">
        <f aca="false">COUNTIF(P$4:P$50,"SICK")</f>
        <v>0</v>
      </c>
      <c r="Q60" s="34" t="n">
        <f aca="false">COUNTIF(Q$4:Q$50,"SICK")</f>
        <v>0</v>
      </c>
      <c r="R60" s="34" t="n">
        <f aca="false">COUNTIF(R$4:R$50,"SICK")</f>
        <v>0</v>
      </c>
      <c r="S60" s="34" t="n">
        <f aca="false">COUNTIF(S$4:S$50,"SICK")</f>
        <v>0</v>
      </c>
      <c r="T60" s="34" t="n">
        <f aca="false">COUNTIF(T$4:T$50,"SICK")</f>
        <v>0</v>
      </c>
      <c r="U60" s="34" t="n">
        <f aca="false">COUNTIF(U$4:U$50,"SICK")</f>
        <v>0</v>
      </c>
      <c r="V60" s="34" t="n">
        <f aca="false">COUNTIF(V$4:V$50,"SICK")</f>
        <v>0</v>
      </c>
      <c r="W60" s="34" t="n">
        <f aca="false">COUNTIF(W$4:W$50,"SICK")</f>
        <v>0</v>
      </c>
      <c r="X60" s="34" t="n">
        <f aca="false">COUNTIF(X$4:X$50,"SICK")</f>
        <v>0</v>
      </c>
      <c r="Y60" s="34" t="n">
        <f aca="false">COUNTIF(Y$4:Y$50,"SICK")</f>
        <v>0</v>
      </c>
      <c r="Z60" s="34" t="n">
        <f aca="false">COUNTIF(Z$4:Z$50,"SICK")</f>
        <v>0</v>
      </c>
      <c r="AA60" s="34" t="n">
        <f aca="false">COUNTIF(AA$4:AA$50,"SICK")</f>
        <v>0</v>
      </c>
      <c r="AB60" s="34" t="n">
        <f aca="false">COUNTIF(AB$4:AB$50,"SICK")</f>
        <v>0</v>
      </c>
      <c r="AC60" s="34" t="n">
        <f aca="false">COUNTIF(AC$4:AC$50,"SICK")</f>
        <v>0</v>
      </c>
      <c r="AD60" s="34" t="n">
        <f aca="false">COUNTIF(AD$4:AD$50,"SICK")</f>
        <v>0</v>
      </c>
      <c r="AE60" s="34" t="n">
        <f aca="false">COUNTIF(AE$4:AE$50,"SICK")</f>
        <v>0</v>
      </c>
      <c r="AF60" s="34" t="n">
        <f aca="false">COUNTIF(AF$4:AF$50,"SICK")</f>
        <v>0</v>
      </c>
    </row>
    <row r="61" customFormat="false" ht="15" hidden="false" customHeight="true" outlineLevel="0" collapsed="false">
      <c r="A61" s="8" t="s">
        <v>361</v>
      </c>
      <c r="E61" s="34" t="n">
        <f aca="false">COUNTIF(E$4:E$50,"AG-E")+COUNTIF(E$4:E$50,"AG-L")+COUNTIF(E$4:E$50,"AG-N")</f>
        <v>0</v>
      </c>
      <c r="F61" s="34" t="n">
        <f aca="false">COUNTIF(F$4:F$50,"AG-E")+COUNTIF(F$4:F$50,"AG-L")+COUNTIF(F$4:F$50,"AG-N")</f>
        <v>0</v>
      </c>
      <c r="G61" s="34" t="n">
        <f aca="false">COUNTIF(G$4:G$50,"AG-E")+COUNTIF(G$4:G$50,"AG-L")+COUNTIF(G$4:G$50,"AG-N")</f>
        <v>0</v>
      </c>
      <c r="H61" s="34" t="n">
        <f aca="false">COUNTIF(H$4:H$50,"AG-E")+COUNTIF(H$4:H$50,"AG-L")+COUNTIF(H$4:H$50,"AG-N")</f>
        <v>0</v>
      </c>
      <c r="I61" s="34" t="n">
        <f aca="false">COUNTIF(I$4:I$50,"AG-E")+COUNTIF(I$4:I$50,"AG-L")+COUNTIF(I$4:I$50,"AG-N")</f>
        <v>0</v>
      </c>
      <c r="J61" s="34" t="n">
        <f aca="false">COUNTIF(J$4:J$50,"AG-E")+COUNTIF(J$4:J$50,"AG-L")+COUNTIF(J$4:J$50,"AG-N")</f>
        <v>0</v>
      </c>
      <c r="K61" s="34" t="n">
        <f aca="false">COUNTIF(K$4:K$50,"AG-E")+COUNTIF(K$4:K$50,"AG-L")+COUNTIF(K$4:K$50,"AG-N")</f>
        <v>0</v>
      </c>
      <c r="L61" s="34" t="n">
        <f aca="false">COUNTIF(L$4:L$50,"AG-E")+COUNTIF(L$4:L$50,"AG-L")+COUNTIF(L$4:L$50,"AG-N")</f>
        <v>0</v>
      </c>
      <c r="M61" s="34" t="n">
        <f aca="false">COUNTIF(M$4:M$50,"AG-E")+COUNTIF(M$4:M$50,"AG-L")+COUNTIF(M$4:M$50,"AG-N")</f>
        <v>0</v>
      </c>
      <c r="N61" s="34" t="n">
        <f aca="false">COUNTIF(N$4:N$50,"AG-E")+COUNTIF(N$4:N$50,"AG-L")+COUNTIF(N$4:N$50,"AG-N")</f>
        <v>0</v>
      </c>
      <c r="O61" s="34" t="n">
        <f aca="false">COUNTIF(O$4:O$50,"AG-E")+COUNTIF(O$4:O$50,"AG-L")+COUNTIF(O$4:O$50,"AG-N")</f>
        <v>0</v>
      </c>
      <c r="P61" s="34" t="n">
        <f aca="false">COUNTIF(P$4:P$50,"AG-E")+COUNTIF(P$4:P$50,"AG-L")+COUNTIF(P$4:P$50,"AG-N")</f>
        <v>0</v>
      </c>
      <c r="Q61" s="34" t="n">
        <f aca="false">COUNTIF(Q$4:Q$50,"AG-E")+COUNTIF(Q$4:Q$50,"AG-L")+COUNTIF(Q$4:Q$50,"AG-N")</f>
        <v>0</v>
      </c>
      <c r="R61" s="34" t="n">
        <f aca="false">COUNTIF(R$4:R$50,"AG-E")+COUNTIF(R$4:R$50,"AG-L")+COUNTIF(R$4:R$50,"AG-N")</f>
        <v>0</v>
      </c>
      <c r="S61" s="34" t="n">
        <f aca="false">COUNTIF(S$4:S$50,"AG-E")+COUNTIF(S$4:S$50,"AG-L")+COUNTIF(S$4:S$50,"AG-N")</f>
        <v>0</v>
      </c>
      <c r="T61" s="34" t="n">
        <f aca="false">COUNTIF(T$4:T$50,"AG-E")+COUNTIF(T$4:T$50,"AG-L")+COUNTIF(T$4:T$50,"AG-N")</f>
        <v>0</v>
      </c>
      <c r="U61" s="34" t="n">
        <f aca="false">COUNTIF(U$4:U$50,"AG-E")+COUNTIF(U$4:U$50,"AG-L")+COUNTIF(U$4:U$50,"AG-N")</f>
        <v>0</v>
      </c>
      <c r="V61" s="34" t="n">
        <f aca="false">COUNTIF(V$4:V$50,"AG-E")+COUNTIF(V$4:V$50,"AG-L")+COUNTIF(V$4:V$50,"AG-N")</f>
        <v>0</v>
      </c>
      <c r="W61" s="34" t="n">
        <f aca="false">COUNTIF(W$4:W$50,"AG-E")+COUNTIF(W$4:W$50,"AG-L")+COUNTIF(W$4:W$50,"AG-N")</f>
        <v>0</v>
      </c>
      <c r="X61" s="34" t="n">
        <f aca="false">COUNTIF(X$4:X$50,"AG-E")+COUNTIF(X$4:X$50,"AG-L")+COUNTIF(X$4:X$50,"AG-N")</f>
        <v>0</v>
      </c>
      <c r="Y61" s="34" t="n">
        <f aca="false">COUNTIF(Y$4:Y$50,"AG-E")+COUNTIF(Y$4:Y$50,"AG-L")+COUNTIF(Y$4:Y$50,"AG-N")</f>
        <v>0</v>
      </c>
      <c r="Z61" s="34" t="n">
        <f aca="false">COUNTIF(Z$4:Z$50,"AG-E")+COUNTIF(Z$4:Z$50,"AG-L")+COUNTIF(Z$4:Z$50,"AG-N")</f>
        <v>0</v>
      </c>
      <c r="AA61" s="34" t="n">
        <f aca="false">COUNTIF(AA$4:AA$50,"AG-E")+COUNTIF(AA$4:AA$50,"AG-L")+COUNTIF(AA$4:AA$50,"AG-N")</f>
        <v>0</v>
      </c>
      <c r="AB61" s="34" t="n">
        <f aca="false">COUNTIF(AB$4:AB$50,"AG-E")+COUNTIF(AB$4:AB$50,"AG-L")+COUNTIF(AB$4:AB$50,"AG-N")</f>
        <v>0</v>
      </c>
      <c r="AC61" s="34" t="n">
        <f aca="false">COUNTIF(AC$4:AC$50,"AG-E")+COUNTIF(AC$4:AC$50,"AG-L")+COUNTIF(AC$4:AC$50,"AG-N")</f>
        <v>0</v>
      </c>
      <c r="AD61" s="34" t="n">
        <f aca="false">COUNTIF(AD$4:AD$50,"AG-E")+COUNTIF(AD$4:AD$50,"AG-L")+COUNTIF(AD$4:AD$50,"AG-N")</f>
        <v>0</v>
      </c>
      <c r="AE61" s="34" t="n">
        <f aca="false">COUNTIF(AE$4:AE$50,"AG-E")+COUNTIF(AE$4:AE$50,"AG-L")+COUNTIF(AE$4:AE$50,"AG-N")</f>
        <v>0</v>
      </c>
      <c r="AF61" s="34" t="n">
        <f aca="false">COUNTIF(AF$4:AF$50,"AG-E")+COUNTIF(AF$4:AF$50,"AG-L")+COUNTIF(AF$4:AF$50,"AG-N")</f>
        <v>0</v>
      </c>
    </row>
    <row r="62" customFormat="false" ht="15" hidden="false" customHeight="true" outlineLevel="0" collapsed="false">
      <c r="A62" s="8" t="s">
        <v>362</v>
      </c>
      <c r="E62" s="34" t="str">
        <f aca="false">IF(OR(E53&lt;CONFIG!$B$20,E55&lt;CONFIG!$B$22),"🔴 HEADS",IF(OR(E54&lt;CONFIG!$B$21,E56&lt;CONFIG!$B$23),"🟠 SKILL","✅ OK"))</f>
        <v>✅ OK</v>
      </c>
      <c r="F62" s="34" t="str">
        <f aca="false">IF(OR(F53&lt;CONFIG!$B$20,F55&lt;CONFIG!$B$22),"🔴 HEADS",IF(OR(F54&lt;CONFIG!$B$21,F56&lt;CONFIG!$B$23),"🟠 SKILL","✅ OK"))</f>
        <v>✅ OK</v>
      </c>
      <c r="G62" s="34" t="str">
        <f aca="false">IF(OR(G30&lt;CONFIG!$B$20,G32&lt;CONFIG!$B$22),"🔴 HEADS",IF(OR(G31&lt;CONFIG!$B$21,G33&lt;CONFIG!$B$23),"🟠 SKILL","✅ OK"))</f>
        <v>🔴 HEADS</v>
      </c>
      <c r="H62" s="34" t="str">
        <f aca="false">IF(OR(H30&lt;CONFIG!$B$20,H32&lt;CONFIG!$B$22),"🔴 HEADS",IF(OR(H31&lt;CONFIG!$B$21,H33&lt;CONFIG!$B$23),"🟠 SKILL","✅ OK"))</f>
        <v>🔴 HEADS</v>
      </c>
      <c r="I62" s="34" t="str">
        <f aca="false">IF(OR(I30&lt;CONFIG!$B$20,I32&lt;CONFIG!$B$22),"🔴 HEADS",IF(OR(I31&lt;CONFIG!$B$21,I33&lt;CONFIG!$B$23),"🟠 SKILL","✅ OK"))</f>
        <v>🔴 HEADS</v>
      </c>
      <c r="J62" s="34" t="str">
        <f aca="false">IF(OR(J30&lt;CONFIG!$B$20,J32&lt;CONFIG!$B$22),"🔴 HEADS",IF(OR(J31&lt;CONFIG!$B$21,J33&lt;CONFIG!$B$23),"🟠 SKILL","✅ OK"))</f>
        <v>🔴 HEADS</v>
      </c>
      <c r="K62" s="34" t="str">
        <f aca="false">IF(OR(K30&lt;CONFIG!$B$20,K32&lt;CONFIG!$B$22),"🔴 HEADS",IF(OR(K31&lt;CONFIG!$B$21,K33&lt;CONFIG!$B$23),"🟠 SKILL","✅ OK"))</f>
        <v>🔴 HEADS</v>
      </c>
      <c r="L62" s="34" t="str">
        <f aca="false">IF(OR(L30&lt;CONFIG!$B$20,L32&lt;CONFIG!$B$22),"🔴 HEADS",IF(OR(L31&lt;CONFIG!$B$21,L33&lt;CONFIG!$B$23),"🟠 SKILL","✅ OK"))</f>
        <v>🔴 HEADS</v>
      </c>
      <c r="M62" s="34" t="str">
        <f aca="false">IF(OR(M30&lt;CONFIG!$B$20,M32&lt;CONFIG!$B$22),"🔴 HEADS",IF(OR(M31&lt;CONFIG!$B$21,M33&lt;CONFIG!$B$23),"🟠 SKILL","✅ OK"))</f>
        <v>🔴 HEADS</v>
      </c>
      <c r="N62" s="34" t="str">
        <f aca="false">IF(OR(N30&lt;CONFIG!$B$20,N32&lt;CONFIG!$B$22),"🔴 HEADS",IF(OR(N31&lt;CONFIG!$B$21,N33&lt;CONFIG!$B$23),"🟠 SKILL","✅ OK"))</f>
        <v>🔴 HEADS</v>
      </c>
      <c r="O62" s="34" t="str">
        <f aca="false">IF(OR(O30&lt;CONFIG!$B$20,O32&lt;CONFIG!$B$22),"🔴 HEADS",IF(OR(O31&lt;CONFIG!$B$21,O33&lt;CONFIG!$B$23),"🟠 SKILL","✅ OK"))</f>
        <v>🔴 HEADS</v>
      </c>
      <c r="P62" s="34" t="str">
        <f aca="false">IF(OR(P30&lt;CONFIG!$B$20,P32&lt;CONFIG!$B$22),"🔴 HEADS",IF(OR(P31&lt;CONFIG!$B$21,P33&lt;CONFIG!$B$23),"🟠 SKILL","✅ OK"))</f>
        <v>🔴 HEADS</v>
      </c>
      <c r="Q62" s="34" t="str">
        <f aca="false">IF(OR(Q30&lt;CONFIG!$B$20,Q32&lt;CONFIG!$B$22),"🔴 HEADS",IF(OR(Q31&lt;CONFIG!$B$21,Q33&lt;CONFIG!$B$23),"🟠 SKILL","✅ OK"))</f>
        <v>🔴 HEADS</v>
      </c>
      <c r="R62" s="34" t="str">
        <f aca="false">IF(OR(R30&lt;CONFIG!$B$20,R32&lt;CONFIG!$B$22),"🔴 HEADS",IF(OR(R31&lt;CONFIG!$B$21,R33&lt;CONFIG!$B$23),"🟠 SKILL","✅ OK"))</f>
        <v>🔴 HEADS</v>
      </c>
      <c r="S62" s="34" t="str">
        <f aca="false">IF(OR(S30&lt;CONFIG!$B$20,S32&lt;CONFIG!$B$22),"🔴 HEADS",IF(OR(S31&lt;CONFIG!$B$21,S33&lt;CONFIG!$B$23),"🟠 SKILL","✅ OK"))</f>
        <v>🔴 HEADS</v>
      </c>
      <c r="T62" s="34" t="str">
        <f aca="false">IF(OR(T30&lt;CONFIG!$B$20,T32&lt;CONFIG!$B$22),"🔴 HEADS",IF(OR(T31&lt;CONFIG!$B$21,T33&lt;CONFIG!$B$23),"🟠 SKILL","✅ OK"))</f>
        <v>🔴 HEADS</v>
      </c>
      <c r="U62" s="34" t="str">
        <f aca="false">IF(OR(U30&lt;CONFIG!$B$20,U32&lt;CONFIG!$B$22),"🔴 HEADS",IF(OR(U31&lt;CONFIG!$B$21,U33&lt;CONFIG!$B$23),"🟠 SKILL","✅ OK"))</f>
        <v>🔴 HEADS</v>
      </c>
      <c r="V62" s="34" t="str">
        <f aca="false">IF(OR(V30&lt;CONFIG!$B$20,V32&lt;CONFIG!$B$22),"🔴 HEADS",IF(OR(V31&lt;CONFIG!$B$21,V33&lt;CONFIG!$B$23),"🟠 SKILL","✅ OK"))</f>
        <v>🔴 HEADS</v>
      </c>
      <c r="W62" s="34" t="str">
        <f aca="false">IF(OR(W30&lt;CONFIG!$B$20,W32&lt;CONFIG!$B$22),"🔴 HEADS",IF(OR(W31&lt;CONFIG!$B$21,W33&lt;CONFIG!$B$23),"🟠 SKILL","✅ OK"))</f>
        <v>🔴 HEADS</v>
      </c>
      <c r="X62" s="34" t="str">
        <f aca="false">IF(OR(X30&lt;CONFIG!$B$20,X32&lt;CONFIG!$B$22),"🔴 HEADS",IF(OR(X31&lt;CONFIG!$B$21,X33&lt;CONFIG!$B$23),"🟠 SKILL","✅ OK"))</f>
        <v>🔴 HEADS</v>
      </c>
      <c r="Y62" s="34" t="str">
        <f aca="false">IF(OR(Y30&lt;CONFIG!$B$20,Y32&lt;CONFIG!$B$22),"🔴 HEADS",IF(OR(Y31&lt;CONFIG!$B$21,Y33&lt;CONFIG!$B$23),"🟠 SKILL","✅ OK"))</f>
        <v>🔴 HEADS</v>
      </c>
      <c r="Z62" s="34" t="str">
        <f aca="false">IF(OR(Z30&lt;CONFIG!$B$20,Z32&lt;CONFIG!$B$22),"🔴 HEADS",IF(OR(Z31&lt;CONFIG!$B$21,Z33&lt;CONFIG!$B$23),"🟠 SKILL","✅ OK"))</f>
        <v>🔴 HEADS</v>
      </c>
      <c r="AA62" s="34" t="str">
        <f aca="false">IF(OR(AA30&lt;CONFIG!$B$20,AA32&lt;CONFIG!$B$22),"🔴 HEADS",IF(OR(AA31&lt;CONFIG!$B$21,AA33&lt;CONFIG!$B$23),"🟠 SKILL","✅ OK"))</f>
        <v>🔴 HEADS</v>
      </c>
      <c r="AB62" s="34" t="str">
        <f aca="false">IF(OR(AB30&lt;CONFIG!$B$20,AB32&lt;CONFIG!$B$22),"🔴 HEADS",IF(OR(AB31&lt;CONFIG!$B$21,AB33&lt;CONFIG!$B$23),"🟠 SKILL","✅ OK"))</f>
        <v>🔴 HEADS</v>
      </c>
      <c r="AC62" s="34" t="str">
        <f aca="false">IF(OR(AC30&lt;CONFIG!$B$20,AC32&lt;CONFIG!$B$22),"🔴 HEADS",IF(OR(AC31&lt;CONFIG!$B$21,AC33&lt;CONFIG!$B$23),"🟠 SKILL","✅ OK"))</f>
        <v>🔴 HEADS</v>
      </c>
      <c r="AD62" s="34" t="str">
        <f aca="false">IF(OR(AD30&lt;CONFIG!$B$20,AD32&lt;CONFIG!$B$22),"🔴 HEADS",IF(OR(AD31&lt;CONFIG!$B$21,AD33&lt;CONFIG!$B$23),"🟠 SKILL","✅ OK"))</f>
        <v>🔴 HEADS</v>
      </c>
      <c r="AE62" s="34" t="str">
        <f aca="false">IF(OR(AE53&lt;CONFIG!$B$20,AE55&lt;CONFIG!$B$22),"🔴 HEADS",IF(OR(AE54&lt;CONFIG!$B$21,AE56&lt;CONFIG!$B$23),"🟠 SKILL","✅ OK"))</f>
        <v>✅ OK</v>
      </c>
      <c r="AF62" s="34" t="str">
        <f aca="false">IF(OR(AF53&lt;CONFIG!$B$20,AF55&lt;CONFIG!$B$22),"🔴 HEADS",IF(OR(AF54&lt;CONFIG!$B$21,AF56&lt;CONFIG!$B$23),"🟠 SKILL","✅ OK"))</f>
        <v>✅ OK</v>
      </c>
    </row>
    <row r="63" customFormat="false" ht="15" hidden="false" customHeight="true" outlineLevel="0" collapsed="false">
      <c r="A63" s="8" t="s">
        <v>363</v>
      </c>
      <c r="E63" s="34" t="str">
        <f aca="false">IF(E57&lt;CONFIG!$B$24,"🔴 HEADS",IF(E58&lt;CONFIG!$B$25,"🟠 SKILL","✅ OK"))</f>
        <v>✅ OK</v>
      </c>
      <c r="F63" s="34" t="str">
        <f aca="false">IF(F57&lt;CONFIG!$B$24,"🔴 HEADS",IF(F58&lt;CONFIG!$B$25,"🟠 SKILL","✅ OK"))</f>
        <v>✅ OK</v>
      </c>
      <c r="G63" s="34" t="str">
        <f aca="false">IF(G34&lt;CONFIG!$B$24,"🔴 HEADS",IF(G35&lt;CONFIG!$B$25,"🟠 SKILL","✅ OK"))</f>
        <v>🔴 HEADS</v>
      </c>
      <c r="H63" s="34" t="str">
        <f aca="false">IF(H34&lt;CONFIG!$B$24,"🔴 HEADS",IF(H35&lt;CONFIG!$B$25,"🟠 SKILL","✅ OK"))</f>
        <v>🔴 HEADS</v>
      </c>
      <c r="I63" s="34" t="str">
        <f aca="false">IF(I34&lt;CONFIG!$B$24,"🔴 HEADS",IF(I35&lt;CONFIG!$B$25,"🟠 SKILL","✅ OK"))</f>
        <v>🔴 HEADS</v>
      </c>
      <c r="J63" s="34" t="str">
        <f aca="false">IF(J34&lt;CONFIG!$B$24,"🔴 HEADS",IF(J35&lt;CONFIG!$B$25,"🟠 SKILL","✅ OK"))</f>
        <v>🔴 HEADS</v>
      </c>
      <c r="K63" s="34" t="str">
        <f aca="false">IF(K34&lt;CONFIG!$B$24,"🔴 HEADS",IF(K35&lt;CONFIG!$B$25,"🟠 SKILL","✅ OK"))</f>
        <v>🔴 HEADS</v>
      </c>
      <c r="L63" s="34" t="str">
        <f aca="false">IF(L34&lt;CONFIG!$B$24,"🔴 HEADS",IF(L35&lt;CONFIG!$B$25,"🟠 SKILL","✅ OK"))</f>
        <v>🔴 HEADS</v>
      </c>
      <c r="M63" s="34" t="str">
        <f aca="false">IF(M34&lt;CONFIG!$B$24,"🔴 HEADS",IF(M35&lt;CONFIG!$B$25,"🟠 SKILL","✅ OK"))</f>
        <v>🔴 HEADS</v>
      </c>
      <c r="N63" s="34" t="str">
        <f aca="false">IF(N34&lt;CONFIG!$B$24,"🔴 HEADS",IF(N35&lt;CONFIG!$B$25,"🟠 SKILL","✅ OK"))</f>
        <v>🔴 HEADS</v>
      </c>
      <c r="O63" s="34" t="str">
        <f aca="false">IF(O34&lt;CONFIG!$B$24,"🔴 HEADS",IF(O35&lt;CONFIG!$B$25,"🟠 SKILL","✅ OK"))</f>
        <v>🔴 HEADS</v>
      </c>
      <c r="P63" s="34" t="str">
        <f aca="false">IF(P34&lt;CONFIG!$B$24,"🔴 HEADS",IF(P35&lt;CONFIG!$B$25,"🟠 SKILL","✅ OK"))</f>
        <v>🔴 HEADS</v>
      </c>
      <c r="Q63" s="34" t="str">
        <f aca="false">IF(Q34&lt;CONFIG!$B$24,"🔴 HEADS",IF(Q35&lt;CONFIG!$B$25,"🟠 SKILL","✅ OK"))</f>
        <v>🔴 HEADS</v>
      </c>
      <c r="R63" s="34" t="str">
        <f aca="false">IF(R34&lt;CONFIG!$B$24,"🔴 HEADS",IF(R35&lt;CONFIG!$B$25,"🟠 SKILL","✅ OK"))</f>
        <v>🔴 HEADS</v>
      </c>
      <c r="S63" s="34" t="str">
        <f aca="false">IF(S34&lt;CONFIG!$B$24,"🔴 HEADS",IF(S35&lt;CONFIG!$B$25,"🟠 SKILL","✅ OK"))</f>
        <v>🔴 HEADS</v>
      </c>
      <c r="T63" s="34" t="str">
        <f aca="false">IF(T34&lt;CONFIG!$B$24,"🔴 HEADS",IF(T35&lt;CONFIG!$B$25,"🟠 SKILL","✅ OK"))</f>
        <v>🔴 HEADS</v>
      </c>
      <c r="U63" s="34" t="str">
        <f aca="false">IF(U34&lt;CONFIG!$B$24,"🔴 HEADS",IF(U35&lt;CONFIG!$B$25,"🟠 SKILL","✅ OK"))</f>
        <v>🔴 HEADS</v>
      </c>
      <c r="V63" s="34" t="str">
        <f aca="false">IF(V34&lt;CONFIG!$B$24,"🔴 HEADS",IF(V35&lt;CONFIG!$B$25,"🟠 SKILL","✅ OK"))</f>
        <v>🔴 HEADS</v>
      </c>
      <c r="W63" s="34" t="str">
        <f aca="false">IF(W34&lt;CONFIG!$B$24,"🔴 HEADS",IF(W35&lt;CONFIG!$B$25,"🟠 SKILL","✅ OK"))</f>
        <v>🔴 HEADS</v>
      </c>
      <c r="X63" s="34" t="str">
        <f aca="false">IF(X34&lt;CONFIG!$B$24,"🔴 HEADS",IF(X35&lt;CONFIG!$B$25,"🟠 SKILL","✅ OK"))</f>
        <v>🔴 HEADS</v>
      </c>
      <c r="Y63" s="34" t="str">
        <f aca="false">IF(Y34&lt;CONFIG!$B$24,"🔴 HEADS",IF(Y35&lt;CONFIG!$B$25,"🟠 SKILL","✅ OK"))</f>
        <v>🔴 HEADS</v>
      </c>
      <c r="Z63" s="34" t="str">
        <f aca="false">IF(Z34&lt;CONFIG!$B$24,"🔴 HEADS",IF(Z35&lt;CONFIG!$B$25,"🟠 SKILL","✅ OK"))</f>
        <v>🔴 HEADS</v>
      </c>
      <c r="AA63" s="34" t="str">
        <f aca="false">IF(AA34&lt;CONFIG!$B$24,"🔴 HEADS",IF(AA35&lt;CONFIG!$B$25,"🟠 SKILL","✅ OK"))</f>
        <v>🔴 HEADS</v>
      </c>
      <c r="AB63" s="34" t="str">
        <f aca="false">IF(AB34&lt;CONFIG!$B$24,"🔴 HEADS",IF(AB35&lt;CONFIG!$B$25,"🟠 SKILL","✅ OK"))</f>
        <v>🔴 HEADS</v>
      </c>
      <c r="AC63" s="34" t="str">
        <f aca="false">IF(AC34&lt;CONFIG!$B$24,"🔴 HEADS",IF(AC35&lt;CONFIG!$B$25,"🟠 SKILL","✅ OK"))</f>
        <v>🔴 HEADS</v>
      </c>
      <c r="AD63" s="34" t="str">
        <f aca="false">IF(AD34&lt;CONFIG!$B$24,"🔴 HEADS",IF(AD35&lt;CONFIG!$B$25,"🟠 SKILL","✅ OK"))</f>
        <v>🔴 HEADS</v>
      </c>
      <c r="AE63" s="34" t="str">
        <f aca="false">IF(AE57&lt;CONFIG!$B$24,"🔴 HEADS",IF(AE58&lt;CONFIG!$B$25,"🟠 SKILL","✅ OK"))</f>
        <v>✅ OK</v>
      </c>
      <c r="AF63" s="34" t="str">
        <f aca="false">IF(AF57&lt;CONFIG!$B$24,"🔴 HEADS",IF(AF58&lt;CONFIG!$B$25,"🟠 SKILL","✅ OK"))</f>
        <v>✅ OK</v>
      </c>
    </row>
  </sheetData>
  <conditionalFormatting sqref="E4:AF26">
    <cfRule type="expression" priority="2" aboveAverage="0" equalAverage="0" bottom="0" percent="0" rank="0" text="" dxfId="4">
      <formula>AND(E4="OFF",$B4&lt;&gt;"Float",$B4&lt;&gt;"Night A",$B4&lt;&gt;"Night B")</formula>
    </cfRule>
    <cfRule type="expression" priority="3" aboveAverage="0" equalAverage="0" bottom="0" percent="0" rank="0" text="" dxfId="5">
      <formula>E4="AL"</formula>
    </cfRule>
    <cfRule type="expression" priority="4" aboveAverage="0" equalAverage="0" bottom="0" percent="0" rank="0" text="" dxfId="6">
      <formula>E4="SICK"</formula>
    </cfRule>
    <cfRule type="expression" priority="5" aboveAverage="0" equalAverage="0" bottom="0" percent="0" rank="0" text="" dxfId="7">
      <formula>OR(E4="OC-E",E4="OC-L",E4="OC-N",E4="OT")</formula>
    </cfRule>
    <cfRule type="expression" priority="6" aboveAverage="0" equalAverage="0" bottom="0" percent="0" rank="0" text="" dxfId="8">
      <formula>OR(E4="AG-E",E4="AG-L",E4="AG-N")</formula>
    </cfRule>
  </conditionalFormatting>
  <conditionalFormatting sqref="E4:E28">
    <cfRule type="cellIs" priority="7" operator="equal" aboveAverage="0" equalAverage="0" bottom="0" percent="0" rank="0" text="" dxfId="0">
      <formula>"SICK"</formula>
    </cfRule>
  </conditionalFormatting>
  <conditionalFormatting sqref="F4:F28">
    <cfRule type="cellIs" priority="8" operator="equal" aboveAverage="0" equalAverage="0" bottom="0" percent="0" rank="0" text="" dxfId="0">
      <formula>"SICK"</formula>
    </cfRule>
  </conditionalFormatting>
  <conditionalFormatting sqref="G4:G28">
    <cfRule type="cellIs" priority="9" operator="equal" aboveAverage="0" equalAverage="0" bottom="0" percent="0" rank="0" text="" dxfId="0">
      <formula>"SICK"</formula>
    </cfRule>
  </conditionalFormatting>
  <conditionalFormatting sqref="H4:H28">
    <cfRule type="cellIs" priority="10" operator="equal" aboveAverage="0" equalAverage="0" bottom="0" percent="0" rank="0" text="" dxfId="0">
      <formula>"SICK"</formula>
    </cfRule>
  </conditionalFormatting>
  <conditionalFormatting sqref="I4:I28">
    <cfRule type="cellIs" priority="11" operator="equal" aboveAverage="0" equalAverage="0" bottom="0" percent="0" rank="0" text="" dxfId="0">
      <formula>"SICK"</formula>
    </cfRule>
  </conditionalFormatting>
  <conditionalFormatting sqref="J4:J28">
    <cfRule type="cellIs" priority="12" operator="equal" aboveAverage="0" equalAverage="0" bottom="0" percent="0" rank="0" text="" dxfId="0">
      <formula>"SICK"</formula>
    </cfRule>
  </conditionalFormatting>
  <conditionalFormatting sqref="K4:K28">
    <cfRule type="cellIs" priority="13" operator="equal" aboveAverage="0" equalAverage="0" bottom="0" percent="0" rank="0" text="" dxfId="0">
      <formula>"SICK"</formula>
    </cfRule>
  </conditionalFormatting>
  <conditionalFormatting sqref="L4:L28">
    <cfRule type="cellIs" priority="14" operator="equal" aboveAverage="0" equalAverage="0" bottom="0" percent="0" rank="0" text="" dxfId="0">
      <formula>"SICK"</formula>
    </cfRule>
  </conditionalFormatting>
  <conditionalFormatting sqref="M4:M28">
    <cfRule type="cellIs" priority="15" operator="equal" aboveAverage="0" equalAverage="0" bottom="0" percent="0" rank="0" text="" dxfId="0">
      <formula>"SICK"</formula>
    </cfRule>
  </conditionalFormatting>
  <conditionalFormatting sqref="N4:N28">
    <cfRule type="cellIs" priority="16" operator="equal" aboveAverage="0" equalAverage="0" bottom="0" percent="0" rank="0" text="" dxfId="0">
      <formula>"SICK"</formula>
    </cfRule>
  </conditionalFormatting>
  <conditionalFormatting sqref="O4:O28">
    <cfRule type="cellIs" priority="17" operator="equal" aboveAverage="0" equalAverage="0" bottom="0" percent="0" rank="0" text="" dxfId="0">
      <formula>"SICK"</formula>
    </cfRule>
  </conditionalFormatting>
  <conditionalFormatting sqref="P4:P28">
    <cfRule type="cellIs" priority="18" operator="equal" aboveAverage="0" equalAverage="0" bottom="0" percent="0" rank="0" text="" dxfId="0">
      <formula>"SICK"</formula>
    </cfRule>
  </conditionalFormatting>
  <conditionalFormatting sqref="Q4:Q28">
    <cfRule type="cellIs" priority="19" operator="equal" aboveAverage="0" equalAverage="0" bottom="0" percent="0" rank="0" text="" dxfId="0">
      <formula>"SICK"</formula>
    </cfRule>
  </conditionalFormatting>
  <conditionalFormatting sqref="R4:R28">
    <cfRule type="cellIs" priority="20" operator="equal" aboveAverage="0" equalAverage="0" bottom="0" percent="0" rank="0" text="" dxfId="0">
      <formula>"SICK"</formula>
    </cfRule>
  </conditionalFormatting>
  <conditionalFormatting sqref="S4:S28">
    <cfRule type="cellIs" priority="21" operator="equal" aboveAverage="0" equalAverage="0" bottom="0" percent="0" rank="0" text="" dxfId="0">
      <formula>"SICK"</formula>
    </cfRule>
  </conditionalFormatting>
  <conditionalFormatting sqref="T4:T28">
    <cfRule type="cellIs" priority="22" operator="equal" aboveAverage="0" equalAverage="0" bottom="0" percent="0" rank="0" text="" dxfId="0">
      <formula>"SICK"</formula>
    </cfRule>
  </conditionalFormatting>
  <conditionalFormatting sqref="U4:U28">
    <cfRule type="cellIs" priority="23" operator="equal" aboveAverage="0" equalAverage="0" bottom="0" percent="0" rank="0" text="" dxfId="0">
      <formula>"SICK"</formula>
    </cfRule>
  </conditionalFormatting>
  <conditionalFormatting sqref="V4:V28">
    <cfRule type="cellIs" priority="24" operator="equal" aboveAverage="0" equalAverage="0" bottom="0" percent="0" rank="0" text="" dxfId="0">
      <formula>"SICK"</formula>
    </cfRule>
  </conditionalFormatting>
  <conditionalFormatting sqref="W4:W28">
    <cfRule type="cellIs" priority="25" operator="equal" aboveAverage="0" equalAverage="0" bottom="0" percent="0" rank="0" text="" dxfId="0">
      <formula>"SICK"</formula>
    </cfRule>
  </conditionalFormatting>
  <conditionalFormatting sqref="X4:X28">
    <cfRule type="cellIs" priority="26" operator="equal" aboveAverage="0" equalAverage="0" bottom="0" percent="0" rank="0" text="" dxfId="0">
      <formula>"SICK"</formula>
    </cfRule>
  </conditionalFormatting>
  <conditionalFormatting sqref="Y4:Y28">
    <cfRule type="cellIs" priority="27" operator="equal" aboveAverage="0" equalAverage="0" bottom="0" percent="0" rank="0" text="" dxfId="0">
      <formula>"SICK"</formula>
    </cfRule>
  </conditionalFormatting>
  <conditionalFormatting sqref="Z4:Z28">
    <cfRule type="cellIs" priority="28" operator="equal" aboveAverage="0" equalAverage="0" bottom="0" percent="0" rank="0" text="" dxfId="0">
      <formula>"SICK"</formula>
    </cfRule>
  </conditionalFormatting>
  <conditionalFormatting sqref="AA4:AA28">
    <cfRule type="cellIs" priority="29" operator="equal" aboveAverage="0" equalAverage="0" bottom="0" percent="0" rank="0" text="" dxfId="0">
      <formula>"SICK"</formula>
    </cfRule>
  </conditionalFormatting>
  <conditionalFormatting sqref="AB4:AB28">
    <cfRule type="cellIs" priority="30" operator="equal" aboveAverage="0" equalAverage="0" bottom="0" percent="0" rank="0" text="" dxfId="0">
      <formula>"SICK"</formula>
    </cfRule>
  </conditionalFormatting>
  <conditionalFormatting sqref="AC4:AC28">
    <cfRule type="cellIs" priority="31" operator="equal" aboveAverage="0" equalAverage="0" bottom="0" percent="0" rank="0" text="" dxfId="0">
      <formula>"SICK"</formula>
    </cfRule>
  </conditionalFormatting>
  <conditionalFormatting sqref="AD4:AD28">
    <cfRule type="cellIs" priority="32" operator="equal" aboveAverage="0" equalAverage="0" bottom="0" percent="0" rank="0" text="" dxfId="0">
      <formula>"SICK"</formula>
    </cfRule>
  </conditionalFormatting>
  <conditionalFormatting sqref="AE4:AE28">
    <cfRule type="cellIs" priority="33" operator="equal" aboveAverage="0" equalAverage="0" bottom="0" percent="0" rank="0" text="" dxfId="0">
      <formula>"SICK"</formula>
    </cfRule>
  </conditionalFormatting>
  <conditionalFormatting sqref="AF4:AF28">
    <cfRule type="cellIs" priority="34" operator="equal" aboveAverage="0" equalAverage="0" bottom="0" percent="0" rank="0" text="" dxfId="0">
      <formula>"SICK"</formula>
    </cfRule>
  </conditionalFormatting>
  <dataValidations count="1">
    <dataValidation allowBlank="false" error="Must be one of: E, L, N, EL, OFF, AL, SICK, AVL, OC-E, OC-L, OC-N, BH-D, BH-N, AG-E, AG-L, AG-N" errorStyle="stop" errorTitle="Invalid Shift Code" operator="between" showDropDown="false" showErrorMessage="true" showInputMessage="false" sqref="E4:AF50" type="list">
      <formula1>"E,L,N,EL,OFF,AL,SICK,AVL,OC-E,OC-L,OC-N,BH-D,BH-N,AG-E,AG-L,AG-N"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1"/>
  </cols>
  <sheetData>
    <row r="1" customFormat="false" ht="17.25" hidden="false" customHeight="true" outlineLevel="0" collapsed="false">
      <c r="A1" s="4" t="s">
        <v>364</v>
      </c>
    </row>
    <row r="2" customFormat="false" ht="15" hidden="false" customHeight="true" outlineLevel="0" collapsed="false">
      <c r="A2" s="7" t="s">
        <v>365</v>
      </c>
      <c r="B2" s="7" t="s">
        <v>98</v>
      </c>
      <c r="C2" s="7" t="s">
        <v>366</v>
      </c>
      <c r="D2" s="7" t="s">
        <v>367</v>
      </c>
      <c r="E2" s="7" t="s">
        <v>368</v>
      </c>
      <c r="F2" s="7" t="s">
        <v>369</v>
      </c>
      <c r="G2" s="7" t="s">
        <v>370</v>
      </c>
      <c r="H2" s="7" t="s">
        <v>371</v>
      </c>
      <c r="I2" s="7" t="s">
        <v>372</v>
      </c>
      <c r="J2" s="23"/>
      <c r="K2" s="23"/>
      <c r="L2" s="23"/>
      <c r="M2" s="23"/>
    </row>
    <row r="3" customFormat="false" ht="15" hidden="false" customHeight="true" outlineLevel="0" collapsed="false">
      <c r="A3" s="1" t="n">
        <v>1</v>
      </c>
      <c r="B3" s="1" t="s">
        <v>373</v>
      </c>
      <c r="C3" s="34" t="n">
        <f aca="false">SUMPRODUCT(((ROSTER!E$4:E$50="E")*CONFIG!$B$9+(ROSTER!E$4:E$50="L")*CONFIG!$B$10+(ROSTER!E$4:E$50="EL")*CONFIG!$B$11+(ROSTER!E$4:E$50="N")*CONFIG!$B$12+(ROSTER!E$4:E$50="OC-E")*CONFIG!$B$9+(ROSTER!E$4:E$50="OC-L")*CONFIG!$B$10+(ROSTER!E$4:E$50="OC-EL")*CONFIG!$B$11+(ROSTER!E$4:E$50="OC-N")*CONFIG!$B$12+(ROSTER!E$4:E$50="ADM")*CONFIG!$B$9+(ROSTER!E$4:E$50="TRN")*CONFIG!$B$9+(ROSTER!E$4:E$50="BH-D")*CONFIG!$B$11+(ROSTER!E$4:E$50="BH-N")*CONFIG!$B$12)*ROSTER!$AG$4:$AG$50)</f>
        <v>1539.125</v>
      </c>
      <c r="D3" s="34" t="n">
        <f aca="false">SUMPRODUCT(((ROSTER!E$4:E$50="OC-E")*CONFIG!$B$9+(ROSTER!E$4:E$50="OC-L")*CONFIG!$B$10+(ROSTER!E$4:E$50="OC-EL")*CONFIG!$B$11+(ROSTER!E$4:E$50="OC-N")*CONFIG!$B$12))*CONFIG!$B$28</f>
        <v>0</v>
      </c>
      <c r="E3" s="34" t="n">
        <f aca="false">(COUNTIF(ROSTER!E$4:E$50,"AG-E")*CONFIG!$B$9+COUNTIF(ROSTER!E$4:E$50,"AG-L")*CONFIG!$B$10)*CONFIG!$B$29</f>
        <v>0</v>
      </c>
      <c r="F3" s="34" t="n">
        <f aca="false">COUNTIF(ROSTER!E$4:E$50,"AG-N")*CONFIG!$B$12*CONFIG!$B$30</f>
        <v>0</v>
      </c>
      <c r="G3" s="34" t="n">
        <f aca="false">SUMPRODUCT((ROSTER!E$4:E$50="BH-D")*CONFIG!$B$11*ROSTER!$AG$4:$AG$50*(CONFIG!$B$46-1))+SUMPRODUCT((ROSTER!E$4:E$50="BH-N")*CONFIG!$B$12*ROSTER!$AG$4:$AG$50*(CONFIG!$B$46-1))</f>
        <v>0</v>
      </c>
      <c r="H3" s="34" t="n">
        <f aca="false">C3+D3+E3+F3+G3</f>
        <v>1539.125</v>
      </c>
      <c r="I3" s="34" t="n">
        <f aca="false">H3</f>
        <v>1539.125</v>
      </c>
      <c r="J3" s="34"/>
      <c r="K3" s="34"/>
      <c r="L3" s="34"/>
      <c r="M3" s="34"/>
    </row>
    <row r="4" customFormat="false" ht="15" hidden="false" customHeight="true" outlineLevel="0" collapsed="false">
      <c r="A4" s="1" t="n">
        <v>2</v>
      </c>
      <c r="B4" s="1" t="s">
        <v>374</v>
      </c>
      <c r="C4" s="34" t="n">
        <f aca="false">SUMPRODUCT(((ROSTER!F$4:F$50="E")*CONFIG!$B$9+(ROSTER!F$4:F$50="L")*CONFIG!$B$10+(ROSTER!F$4:F$50="EL")*CONFIG!$B$11+(ROSTER!F$4:F$50="N")*CONFIG!$B$12+(ROSTER!F$4:F$50="OC-E")*CONFIG!$B$9+(ROSTER!F$4:F$50="OC-L")*CONFIG!$B$10+(ROSTER!F$4:F$50="OC-EL")*CONFIG!$B$11+(ROSTER!F$4:F$50="OC-N")*CONFIG!$B$12+(ROSTER!F$4:F$50="ADM")*CONFIG!$B$9+(ROSTER!F$4:F$50="TRN")*CONFIG!$B$9+(ROSTER!F$4:F$50="BH-D")*CONFIG!$B$11+(ROSTER!F$4:F$50="BH-N")*CONFIG!$B$12)*ROSTER!$AG$4:$AG$50)</f>
        <v>1539.125</v>
      </c>
      <c r="D4" s="34" t="n">
        <f aca="false">SUMPRODUCT(((ROSTER!F$4:F$50="OC-E")*CONFIG!$B$9+(ROSTER!F$4:F$50="OC-L")*CONFIG!$B$10+(ROSTER!F$4:F$50="OC-EL")*CONFIG!$B$11+(ROSTER!F$4:F$50="OC-N")*CONFIG!$B$12))*CONFIG!$B$28</f>
        <v>0</v>
      </c>
      <c r="E4" s="34" t="n">
        <f aca="false">(COUNTIF(ROSTER!F$4:F$50,"AG-E")*CONFIG!$B$9+COUNTIF(ROSTER!F$4:F$50,"AG-L")*CONFIG!$B$10)*CONFIG!$B$29</f>
        <v>0</v>
      </c>
      <c r="F4" s="34" t="n">
        <f aca="false">COUNTIF(ROSTER!F$4:F$50,"AG-N")*CONFIG!$B$12*CONFIG!$B$30</f>
        <v>0</v>
      </c>
      <c r="G4" s="34" t="n">
        <f aca="false">SUMPRODUCT((ROSTER!F$4:F$50="BH-D")*CONFIG!$B$11*ROSTER!$AG$4:$AG$50*(CONFIG!$B$46-1))+SUMPRODUCT((ROSTER!F$4:F$50="BH-N")*CONFIG!$B$12*ROSTER!$AG$4:$AG$50*(CONFIG!$B$46-1))</f>
        <v>0</v>
      </c>
      <c r="H4" s="34" t="n">
        <f aca="false">C4+D4+E4+F4+G4</f>
        <v>1539.125</v>
      </c>
      <c r="I4" s="34" t="n">
        <f aca="false">I3+H4</f>
        <v>3078.25</v>
      </c>
      <c r="J4" s="34"/>
      <c r="K4" s="34"/>
      <c r="L4" s="34"/>
      <c r="M4" s="34"/>
    </row>
    <row r="5" customFormat="false" ht="15" hidden="false" customHeight="true" outlineLevel="0" collapsed="false">
      <c r="A5" s="1" t="n">
        <v>3</v>
      </c>
      <c r="B5" s="1" t="s">
        <v>375</v>
      </c>
      <c r="C5" s="34" t="n">
        <f aca="false">SUMPRODUCT(((ROSTER!G$4:G$50="E")*CONFIG!$B$9+(ROSTER!G$4:G$50="L")*CONFIG!$B$10+(ROSTER!G$4:G$50="EL")*CONFIG!$B$11+(ROSTER!G$4:G$50="N")*CONFIG!$B$12+(ROSTER!G$4:G$50="OC-E")*CONFIG!$B$9+(ROSTER!G$4:G$50="OC-L")*CONFIG!$B$10+(ROSTER!G$4:G$50="OC-EL")*CONFIG!$B$11+(ROSTER!G$4:G$50="OC-N")*CONFIG!$B$12+(ROSTER!G$4:G$50="ADM")*CONFIG!$B$9+(ROSTER!G$4:G$50="TRN")*CONFIG!$B$9+(ROSTER!G$4:G$50="BH-D")*CONFIG!$B$11+(ROSTER!G$4:G$50="BH-N")*CONFIG!$B$12)*ROSTER!$AG$4:$AG$50)</f>
        <v>1548.125</v>
      </c>
      <c r="D5" s="34" t="n">
        <f aca="false">SUMPRODUCT(((ROSTER!G$4:G$50="OC-E")*CONFIG!$B$9+(ROSTER!G$4:G$50="OC-L")*CONFIG!$B$10+(ROSTER!G$4:G$50="OC-EL")*CONFIG!$B$11+(ROSTER!G$4:G$50="OC-N")*CONFIG!$B$12))*CONFIG!$B$28</f>
        <v>0</v>
      </c>
      <c r="E5" s="34" t="n">
        <f aca="false">(COUNTIF(ROSTER!G$4:G$50,"AG-E")*CONFIG!$B$9+COUNTIF(ROSTER!G$4:G$50,"AG-L")*CONFIG!$B$10)*CONFIG!$B$29</f>
        <v>0</v>
      </c>
      <c r="F5" s="34" t="n">
        <f aca="false">COUNTIF(ROSTER!G$4:G$50,"AG-N")*CONFIG!$B$12*CONFIG!$B$30</f>
        <v>0</v>
      </c>
      <c r="G5" s="34" t="n">
        <f aca="false">SUMPRODUCT((ROSTER!G$4:G$50="BH-D")*CONFIG!$B$11*ROSTER!$AG$4:$AG$50*(CONFIG!$B$46-1))+SUMPRODUCT((ROSTER!G$4:G$50="BH-N")*CONFIG!$B$12*ROSTER!$AG$4:$AG$50*(CONFIG!$B$46-1))</f>
        <v>0</v>
      </c>
      <c r="H5" s="34" t="n">
        <f aca="false">C5+D5+E5+F5+G5</f>
        <v>1548.125</v>
      </c>
      <c r="I5" s="34" t="n">
        <f aca="false">I4+H5</f>
        <v>4626.375</v>
      </c>
      <c r="J5" s="34"/>
      <c r="K5" s="34"/>
      <c r="L5" s="34"/>
      <c r="M5" s="34"/>
    </row>
    <row r="6" customFormat="false" ht="15" hidden="false" customHeight="true" outlineLevel="0" collapsed="false">
      <c r="A6" s="1" t="n">
        <v>4</v>
      </c>
      <c r="B6" s="1" t="s">
        <v>376</v>
      </c>
      <c r="C6" s="34" t="n">
        <f aca="false">SUMPRODUCT(((ROSTER!H$4:H$50="E")*CONFIG!$B$9+(ROSTER!H$4:H$50="L")*CONFIG!$B$10+(ROSTER!H$4:H$50="EL")*CONFIG!$B$11+(ROSTER!H$4:H$50="N")*CONFIG!$B$12+(ROSTER!H$4:H$50="OC-E")*CONFIG!$B$9+(ROSTER!H$4:H$50="OC-L")*CONFIG!$B$10+(ROSTER!H$4:H$50="OC-EL")*CONFIG!$B$11+(ROSTER!H$4:H$50="OC-N")*CONFIG!$B$12+(ROSTER!H$4:H$50="ADM")*CONFIG!$B$9+(ROSTER!H$4:H$50="TRN")*CONFIG!$B$9+(ROSTER!H$4:H$50="BH-D")*CONFIG!$B$11+(ROSTER!H$4:H$50="BH-N")*CONFIG!$B$12)*ROSTER!$AG$4:$AG$50)</f>
        <v>1548.125</v>
      </c>
      <c r="D6" s="34" t="n">
        <f aca="false">SUMPRODUCT(((ROSTER!H$4:H$50="OC-E")*CONFIG!$B$9+(ROSTER!H$4:H$50="OC-L")*CONFIG!$B$10+(ROSTER!H$4:H$50="OC-EL")*CONFIG!$B$11+(ROSTER!H$4:H$50="OC-N")*CONFIG!$B$12))*CONFIG!$B$28</f>
        <v>0</v>
      </c>
      <c r="E6" s="34" t="n">
        <f aca="false">(COUNTIF(ROSTER!H$4:H$50,"AG-E")*CONFIG!$B$9+COUNTIF(ROSTER!H$4:H$50,"AG-L")*CONFIG!$B$10)*CONFIG!$B$29</f>
        <v>0</v>
      </c>
      <c r="F6" s="34" t="n">
        <f aca="false">COUNTIF(ROSTER!H$4:H$50,"AG-N")*CONFIG!$B$12*CONFIG!$B$30</f>
        <v>0</v>
      </c>
      <c r="G6" s="34" t="n">
        <f aca="false">SUMPRODUCT((ROSTER!H$4:H$50="BH-D")*CONFIG!$B$11*ROSTER!$AG$4:$AG$50*(CONFIG!$B$46-1))+SUMPRODUCT((ROSTER!H$4:H$50="BH-N")*CONFIG!$B$12*ROSTER!$AG$4:$AG$50*(CONFIG!$B$46-1))</f>
        <v>0</v>
      </c>
      <c r="H6" s="34" t="n">
        <f aca="false">C6+D6+E6+F6+G6</f>
        <v>1548.125</v>
      </c>
      <c r="I6" s="34" t="n">
        <f aca="false">I5+H6</f>
        <v>6174.5</v>
      </c>
      <c r="J6" s="34"/>
      <c r="K6" s="34"/>
      <c r="L6" s="34"/>
      <c r="M6" s="34"/>
    </row>
    <row r="7" customFormat="false" ht="15" hidden="false" customHeight="true" outlineLevel="0" collapsed="false">
      <c r="A7" s="1" t="n">
        <v>5</v>
      </c>
      <c r="B7" s="1" t="s">
        <v>377</v>
      </c>
      <c r="C7" s="34" t="n">
        <f aca="false">SUMPRODUCT(((ROSTER!I$4:I$50="E")*CONFIG!$B$9+(ROSTER!I$4:I$50="L")*CONFIG!$B$10+(ROSTER!I$4:I$50="EL")*CONFIG!$B$11+(ROSTER!I$4:I$50="N")*CONFIG!$B$12+(ROSTER!I$4:I$50="OC-E")*CONFIG!$B$9+(ROSTER!I$4:I$50="OC-L")*CONFIG!$B$10+(ROSTER!I$4:I$50="OC-EL")*CONFIG!$B$11+(ROSTER!I$4:I$50="OC-N")*CONFIG!$B$12+(ROSTER!I$4:I$50="ADM")*CONFIG!$B$9+(ROSTER!I$4:I$50="TRN")*CONFIG!$B$9+(ROSTER!I$4:I$50="BH-D")*CONFIG!$B$11+(ROSTER!I$4:I$50="BH-N")*CONFIG!$B$12)*ROSTER!$AG$4:$AG$50)</f>
        <v>1539.125</v>
      </c>
      <c r="D7" s="34" t="n">
        <f aca="false">SUMPRODUCT(((ROSTER!I$4:I$50="OC-E")*CONFIG!$B$9+(ROSTER!I$4:I$50="OC-L")*CONFIG!$B$10+(ROSTER!I$4:I$50="OC-EL")*CONFIG!$B$11+(ROSTER!I$4:I$50="OC-N")*CONFIG!$B$12))*CONFIG!$B$28</f>
        <v>0</v>
      </c>
      <c r="E7" s="34" t="n">
        <f aca="false">(COUNTIF(ROSTER!I$4:I$50,"AG-E")*CONFIG!$B$9+COUNTIF(ROSTER!I$4:I$50,"AG-L")*CONFIG!$B$10)*CONFIG!$B$29</f>
        <v>0</v>
      </c>
      <c r="F7" s="34" t="n">
        <f aca="false">COUNTIF(ROSTER!I$4:I$50,"AG-N")*CONFIG!$B$12*CONFIG!$B$30</f>
        <v>0</v>
      </c>
      <c r="G7" s="34" t="n">
        <f aca="false">SUMPRODUCT((ROSTER!I$4:I$50="BH-D")*CONFIG!$B$11*ROSTER!$AG$4:$AG$50*(CONFIG!$B$46-1))+SUMPRODUCT((ROSTER!I$4:I$50="BH-N")*CONFIG!$B$12*ROSTER!$AG$4:$AG$50*(CONFIG!$B$46-1))</f>
        <v>0</v>
      </c>
      <c r="H7" s="34" t="n">
        <f aca="false">C7+D7+E7+F7+G7</f>
        <v>1539.125</v>
      </c>
      <c r="I7" s="34" t="n">
        <f aca="false">I6+H7</f>
        <v>7713.625</v>
      </c>
      <c r="J7" s="34"/>
      <c r="K7" s="34"/>
      <c r="L7" s="34"/>
      <c r="M7" s="34"/>
    </row>
    <row r="8" customFormat="false" ht="15" hidden="false" customHeight="true" outlineLevel="0" collapsed="false">
      <c r="A8" s="1" t="n">
        <v>6</v>
      </c>
      <c r="B8" s="1" t="s">
        <v>378</v>
      </c>
      <c r="C8" s="34" t="n">
        <f aca="false">SUMPRODUCT(((ROSTER!J$4:J$50="E")*CONFIG!$B$9+(ROSTER!J$4:J$50="L")*CONFIG!$B$10+(ROSTER!J$4:J$50="EL")*CONFIG!$B$11+(ROSTER!J$4:J$50="N")*CONFIG!$B$12+(ROSTER!J$4:J$50="OC-E")*CONFIG!$B$9+(ROSTER!J$4:J$50="OC-L")*CONFIG!$B$10+(ROSTER!J$4:J$50="OC-EL")*CONFIG!$B$11+(ROSTER!J$4:J$50="OC-N")*CONFIG!$B$12+(ROSTER!J$4:J$50="ADM")*CONFIG!$B$9+(ROSTER!J$4:J$50="TRN")*CONFIG!$B$9+(ROSTER!J$4:J$50="BH-D")*CONFIG!$B$11+(ROSTER!J$4:J$50="BH-N")*CONFIG!$B$12)*ROSTER!$AG$4:$AG$50)</f>
        <v>1539.125</v>
      </c>
      <c r="D8" s="34" t="n">
        <f aca="false">SUMPRODUCT(((ROSTER!J$4:J$50="OC-E")*CONFIG!$B$9+(ROSTER!J$4:J$50="OC-L")*CONFIG!$B$10+(ROSTER!J$4:J$50="OC-EL")*CONFIG!$B$11+(ROSTER!J$4:J$50="OC-N")*CONFIG!$B$12))*CONFIG!$B$28</f>
        <v>0</v>
      </c>
      <c r="E8" s="34" t="n">
        <f aca="false">(COUNTIF(ROSTER!J$4:J$50,"AG-E")*CONFIG!$B$9+COUNTIF(ROSTER!J$4:J$50,"AG-L")*CONFIG!$B$10)*CONFIG!$B$29</f>
        <v>0</v>
      </c>
      <c r="F8" s="34" t="n">
        <f aca="false">COUNTIF(ROSTER!J$4:J$50,"AG-N")*CONFIG!$B$12*CONFIG!$B$30</f>
        <v>0</v>
      </c>
      <c r="G8" s="34" t="n">
        <f aca="false">SUMPRODUCT((ROSTER!J$4:J$50="BH-D")*CONFIG!$B$11*ROSTER!$AG$4:$AG$50*(CONFIG!$B$46-1))+SUMPRODUCT((ROSTER!J$4:J$50="BH-N")*CONFIG!$B$12*ROSTER!$AG$4:$AG$50*(CONFIG!$B$46-1))</f>
        <v>0</v>
      </c>
      <c r="H8" s="34" t="n">
        <f aca="false">C8+D8+E8+F8+G8</f>
        <v>1539.125</v>
      </c>
      <c r="I8" s="34" t="n">
        <f aca="false">I7+H8</f>
        <v>9252.75</v>
      </c>
      <c r="J8" s="34"/>
      <c r="K8" s="34"/>
      <c r="L8" s="34"/>
      <c r="M8" s="34"/>
    </row>
    <row r="9" customFormat="false" ht="15" hidden="false" customHeight="true" outlineLevel="0" collapsed="false">
      <c r="A9" s="1" t="n">
        <v>7</v>
      </c>
      <c r="B9" s="1" t="s">
        <v>379</v>
      </c>
      <c r="C9" s="34" t="n">
        <f aca="false">SUMPRODUCT(((ROSTER!K$4:K$50="E")*CONFIG!$B$9+(ROSTER!K$4:K$50="L")*CONFIG!$B$10+(ROSTER!K$4:K$50="EL")*CONFIG!$B$11+(ROSTER!K$4:K$50="N")*CONFIG!$B$12+(ROSTER!K$4:K$50="OC-E")*CONFIG!$B$9+(ROSTER!K$4:K$50="OC-L")*CONFIG!$B$10+(ROSTER!K$4:K$50="OC-EL")*CONFIG!$B$11+(ROSTER!K$4:K$50="OC-N")*CONFIG!$B$12+(ROSTER!K$4:K$50="ADM")*CONFIG!$B$9+(ROSTER!K$4:K$50="TRN")*CONFIG!$B$9+(ROSTER!K$4:K$50="BH-D")*CONFIG!$B$11+(ROSTER!K$4:K$50="BH-N")*CONFIG!$B$12)*ROSTER!$AG$4:$AG$50)</f>
        <v>1539.125</v>
      </c>
      <c r="D9" s="34" t="n">
        <f aca="false">SUMPRODUCT(((ROSTER!K$4:K$50="OC-E")*CONFIG!$B$9+(ROSTER!K$4:K$50="OC-L")*CONFIG!$B$10+(ROSTER!K$4:K$50="OC-EL")*CONFIG!$B$11+(ROSTER!K$4:K$50="OC-N")*CONFIG!$B$12))*CONFIG!$B$28</f>
        <v>0</v>
      </c>
      <c r="E9" s="34" t="n">
        <f aca="false">(COUNTIF(ROSTER!K$4:K$50,"AG-E")*CONFIG!$B$9+COUNTIF(ROSTER!K$4:K$50,"AG-L")*CONFIG!$B$10)*CONFIG!$B$29</f>
        <v>0</v>
      </c>
      <c r="F9" s="34" t="n">
        <f aca="false">COUNTIF(ROSTER!K$4:K$50,"AG-N")*CONFIG!$B$12*CONFIG!$B$30</f>
        <v>0</v>
      </c>
      <c r="G9" s="34" t="n">
        <f aca="false">SUMPRODUCT((ROSTER!K$4:K$50="BH-D")*CONFIG!$B$11*ROSTER!$AG$4:$AG$50*(CONFIG!$B$46-1))+SUMPRODUCT((ROSTER!K$4:K$50="BH-N")*CONFIG!$B$12*ROSTER!$AG$4:$AG$50*(CONFIG!$B$46-1))</f>
        <v>0</v>
      </c>
      <c r="H9" s="34" t="n">
        <f aca="false">C9+D9+E9+F9+G9</f>
        <v>1539.125</v>
      </c>
      <c r="I9" s="34" t="n">
        <f aca="false">I8+H9</f>
        <v>10791.875</v>
      </c>
      <c r="J9" s="34"/>
      <c r="K9" s="34"/>
      <c r="L9" s="34"/>
      <c r="M9" s="34"/>
    </row>
    <row r="10" customFormat="false" ht="15" hidden="false" customHeight="true" outlineLevel="0" collapsed="false">
      <c r="A10" s="1" t="n">
        <v>8</v>
      </c>
      <c r="B10" s="1" t="s">
        <v>373</v>
      </c>
      <c r="C10" s="34" t="n">
        <f aca="false">SUMPRODUCT(((ROSTER!L$4:L$50="E")*CONFIG!$B$9+(ROSTER!L$4:L$50="L")*CONFIG!$B$10+(ROSTER!L$4:L$50="EL")*CONFIG!$B$11+(ROSTER!L$4:L$50="N")*CONFIG!$B$12+(ROSTER!L$4:L$50="OC-E")*CONFIG!$B$9+(ROSTER!L$4:L$50="OC-L")*CONFIG!$B$10+(ROSTER!L$4:L$50="OC-EL")*CONFIG!$B$11+(ROSTER!L$4:L$50="OC-N")*CONFIG!$B$12+(ROSTER!L$4:L$50="ADM")*CONFIG!$B$9+(ROSTER!L$4:L$50="TRN")*CONFIG!$B$9+(ROSTER!L$4:L$50="BH-D")*CONFIG!$B$11+(ROSTER!L$4:L$50="BH-N")*CONFIG!$B$12)*ROSTER!$AG$4:$AG$50)</f>
        <v>1548.125</v>
      </c>
      <c r="D10" s="34" t="n">
        <f aca="false">SUMPRODUCT(((ROSTER!L$4:L$50="OC-E")*CONFIG!$B$9+(ROSTER!L$4:L$50="OC-L")*CONFIG!$B$10+(ROSTER!L$4:L$50="OC-EL")*CONFIG!$B$11+(ROSTER!L$4:L$50="OC-N")*CONFIG!$B$12))*CONFIG!$B$28</f>
        <v>0</v>
      </c>
      <c r="E10" s="34" t="n">
        <f aca="false">(COUNTIF(ROSTER!L$4:L$50,"AG-E")*CONFIG!$B$9+COUNTIF(ROSTER!L$4:L$50,"AG-L")*CONFIG!$B$10)*CONFIG!$B$29</f>
        <v>0</v>
      </c>
      <c r="F10" s="34" t="n">
        <f aca="false">COUNTIF(ROSTER!L$4:L$50,"AG-N")*CONFIG!$B$12*CONFIG!$B$30</f>
        <v>0</v>
      </c>
      <c r="G10" s="34" t="n">
        <f aca="false">SUMPRODUCT((ROSTER!L$4:L$50="BH-D")*CONFIG!$B$11*ROSTER!$AG$4:$AG$50*(CONFIG!$B$46-1))+SUMPRODUCT((ROSTER!L$4:L$50="BH-N")*CONFIG!$B$12*ROSTER!$AG$4:$AG$50*(CONFIG!$B$46-1))</f>
        <v>0</v>
      </c>
      <c r="H10" s="34" t="n">
        <f aca="false">C10+D10+E10+F10+G10</f>
        <v>1548.125</v>
      </c>
      <c r="I10" s="34" t="n">
        <f aca="false">I9+H10</f>
        <v>12340</v>
      </c>
      <c r="J10" s="34"/>
      <c r="K10" s="34"/>
      <c r="L10" s="34"/>
      <c r="M10" s="34"/>
    </row>
    <row r="11" customFormat="false" ht="15" hidden="false" customHeight="true" outlineLevel="0" collapsed="false">
      <c r="A11" s="1" t="n">
        <v>9</v>
      </c>
      <c r="B11" s="1" t="s">
        <v>374</v>
      </c>
      <c r="C11" s="34" t="n">
        <f aca="false">SUMPRODUCT(((ROSTER!M$4:M$50="E")*CONFIG!$B$9+(ROSTER!M$4:M$50="L")*CONFIG!$B$10+(ROSTER!M$4:M$50="EL")*CONFIG!$B$11+(ROSTER!M$4:M$50="N")*CONFIG!$B$12+(ROSTER!M$4:M$50="OC-E")*CONFIG!$B$9+(ROSTER!M$4:M$50="OC-L")*CONFIG!$B$10+(ROSTER!M$4:M$50="OC-EL")*CONFIG!$B$11+(ROSTER!M$4:M$50="OC-N")*CONFIG!$B$12+(ROSTER!M$4:M$50="ADM")*CONFIG!$B$9+(ROSTER!M$4:M$50="TRN")*CONFIG!$B$9+(ROSTER!M$4:M$50="BH-D")*CONFIG!$B$11+(ROSTER!M$4:M$50="BH-N")*CONFIG!$B$12)*ROSTER!$AG$4:$AG$50)</f>
        <v>1548.125</v>
      </c>
      <c r="D11" s="34" t="n">
        <f aca="false">SUMPRODUCT(((ROSTER!M$4:M$50="OC-E")*CONFIG!$B$9+(ROSTER!M$4:M$50="OC-L")*CONFIG!$B$10+(ROSTER!M$4:M$50="OC-EL")*CONFIG!$B$11+(ROSTER!M$4:M$50="OC-N")*CONFIG!$B$12))*CONFIG!$B$28</f>
        <v>0</v>
      </c>
      <c r="E11" s="34" t="n">
        <f aca="false">(COUNTIF(ROSTER!M$4:M$50,"AG-E")*CONFIG!$B$9+COUNTIF(ROSTER!M$4:M$50,"AG-L")*CONFIG!$B$10)*CONFIG!$B$29</f>
        <v>0</v>
      </c>
      <c r="F11" s="34" t="n">
        <f aca="false">COUNTIF(ROSTER!M$4:M$50,"AG-N")*CONFIG!$B$12*CONFIG!$B$30</f>
        <v>0</v>
      </c>
      <c r="G11" s="34" t="n">
        <f aca="false">SUMPRODUCT((ROSTER!M$4:M$50="BH-D")*CONFIG!$B$11*ROSTER!$AG$4:$AG$50*(CONFIG!$B$46-1))+SUMPRODUCT((ROSTER!M$4:M$50="BH-N")*CONFIG!$B$12*ROSTER!$AG$4:$AG$50*(CONFIG!$B$46-1))</f>
        <v>0</v>
      </c>
      <c r="H11" s="34" t="n">
        <f aca="false">C11+D11+E11+F11+G11</f>
        <v>1548.125</v>
      </c>
      <c r="I11" s="34" t="n">
        <f aca="false">I10+H11</f>
        <v>13888.125</v>
      </c>
      <c r="J11" s="34"/>
      <c r="K11" s="34"/>
      <c r="L11" s="34"/>
      <c r="M11" s="34"/>
    </row>
    <row r="12" customFormat="false" ht="15" hidden="false" customHeight="true" outlineLevel="0" collapsed="false">
      <c r="A12" s="1" t="n">
        <v>10</v>
      </c>
      <c r="B12" s="1" t="s">
        <v>375</v>
      </c>
      <c r="C12" s="34" t="n">
        <f aca="false">SUMPRODUCT(((ROSTER!N$4:N$50="E")*CONFIG!$B$9+(ROSTER!N$4:N$50="L")*CONFIG!$B$10+(ROSTER!N$4:N$50="EL")*CONFIG!$B$11+(ROSTER!N$4:N$50="N")*CONFIG!$B$12+(ROSTER!N$4:N$50="OC-E")*CONFIG!$B$9+(ROSTER!N$4:N$50="OC-L")*CONFIG!$B$10+(ROSTER!N$4:N$50="OC-EL")*CONFIG!$B$11+(ROSTER!N$4:N$50="OC-N")*CONFIG!$B$12+(ROSTER!N$4:N$50="ADM")*CONFIG!$B$9+(ROSTER!N$4:N$50="TRN")*CONFIG!$B$9+(ROSTER!N$4:N$50="BH-D")*CONFIG!$B$11+(ROSTER!N$4:N$50="BH-N")*CONFIG!$B$12)*ROSTER!$AG$4:$AG$50)</f>
        <v>1539.125</v>
      </c>
      <c r="D12" s="34" t="n">
        <f aca="false">SUMPRODUCT(((ROSTER!N$4:N$50="OC-E")*CONFIG!$B$9+(ROSTER!N$4:N$50="OC-L")*CONFIG!$B$10+(ROSTER!N$4:N$50="OC-EL")*CONFIG!$B$11+(ROSTER!N$4:N$50="OC-N")*CONFIG!$B$12))*CONFIG!$B$28</f>
        <v>0</v>
      </c>
      <c r="E12" s="34" t="n">
        <f aca="false">(COUNTIF(ROSTER!N$4:N$50,"AG-E")*CONFIG!$B$9+COUNTIF(ROSTER!N$4:N$50,"AG-L")*CONFIG!$B$10)*CONFIG!$B$29</f>
        <v>0</v>
      </c>
      <c r="F12" s="34" t="n">
        <f aca="false">COUNTIF(ROSTER!N$4:N$50,"AG-N")*CONFIG!$B$12*CONFIG!$B$30</f>
        <v>0</v>
      </c>
      <c r="G12" s="34" t="n">
        <f aca="false">SUMPRODUCT((ROSTER!N$4:N$50="BH-D")*CONFIG!$B$11*ROSTER!$AG$4:$AG$50*(CONFIG!$B$46-1))+SUMPRODUCT((ROSTER!N$4:N$50="BH-N")*CONFIG!$B$12*ROSTER!$AG$4:$AG$50*(CONFIG!$B$46-1))</f>
        <v>0</v>
      </c>
      <c r="H12" s="34" t="n">
        <f aca="false">C12+D12+E12+F12+G12</f>
        <v>1539.125</v>
      </c>
      <c r="I12" s="34" t="n">
        <f aca="false">I11+H12</f>
        <v>15427.25</v>
      </c>
      <c r="J12" s="34"/>
      <c r="K12" s="34"/>
      <c r="L12" s="34"/>
      <c r="M12" s="34"/>
    </row>
    <row r="13" customFormat="false" ht="15" hidden="false" customHeight="true" outlineLevel="0" collapsed="false">
      <c r="A13" s="1" t="n">
        <v>11</v>
      </c>
      <c r="B13" s="1" t="s">
        <v>376</v>
      </c>
      <c r="C13" s="34" t="n">
        <f aca="false">SUMPRODUCT(((ROSTER!O$4:O$50="E")*CONFIG!$B$9+(ROSTER!O$4:O$50="L")*CONFIG!$B$10+(ROSTER!O$4:O$50="EL")*CONFIG!$B$11+(ROSTER!O$4:O$50="N")*CONFIG!$B$12+(ROSTER!O$4:O$50="OC-E")*CONFIG!$B$9+(ROSTER!O$4:O$50="OC-L")*CONFIG!$B$10+(ROSTER!O$4:O$50="OC-EL")*CONFIG!$B$11+(ROSTER!O$4:O$50="OC-N")*CONFIG!$B$12+(ROSTER!O$4:O$50="ADM")*CONFIG!$B$9+(ROSTER!O$4:O$50="TRN")*CONFIG!$B$9+(ROSTER!O$4:O$50="BH-D")*CONFIG!$B$11+(ROSTER!O$4:O$50="BH-N")*CONFIG!$B$12)*ROSTER!$AG$4:$AG$50)</f>
        <v>1539.125</v>
      </c>
      <c r="D13" s="34" t="n">
        <f aca="false">SUMPRODUCT(((ROSTER!O$4:O$50="OC-E")*CONFIG!$B$9+(ROSTER!O$4:O$50="OC-L")*CONFIG!$B$10+(ROSTER!O$4:O$50="OC-EL")*CONFIG!$B$11+(ROSTER!O$4:O$50="OC-N")*CONFIG!$B$12))*CONFIG!$B$28</f>
        <v>0</v>
      </c>
      <c r="E13" s="34" t="n">
        <f aca="false">(COUNTIF(ROSTER!O$4:O$50,"AG-E")*CONFIG!$B$9+COUNTIF(ROSTER!O$4:O$50,"AG-L")*CONFIG!$B$10)*CONFIG!$B$29</f>
        <v>0</v>
      </c>
      <c r="F13" s="34" t="n">
        <f aca="false">COUNTIF(ROSTER!O$4:O$50,"AG-N")*CONFIG!$B$12*CONFIG!$B$30</f>
        <v>0</v>
      </c>
      <c r="G13" s="34" t="n">
        <f aca="false">SUMPRODUCT((ROSTER!O$4:O$50="BH-D")*CONFIG!$B$11*ROSTER!$AG$4:$AG$50*(CONFIG!$B$46-1))+SUMPRODUCT((ROSTER!O$4:O$50="BH-N")*CONFIG!$B$12*ROSTER!$AG$4:$AG$50*(CONFIG!$B$46-1))</f>
        <v>0</v>
      </c>
      <c r="H13" s="34" t="n">
        <f aca="false">C13+D13+E13+F13+G13</f>
        <v>1539.125</v>
      </c>
      <c r="I13" s="34" t="n">
        <f aca="false">I12+H13</f>
        <v>16966.375</v>
      </c>
      <c r="J13" s="34"/>
      <c r="K13" s="34"/>
      <c r="L13" s="34"/>
      <c r="M13" s="34"/>
    </row>
    <row r="14" customFormat="false" ht="15" hidden="false" customHeight="true" outlineLevel="0" collapsed="false">
      <c r="A14" s="1" t="n">
        <v>12</v>
      </c>
      <c r="B14" s="1" t="s">
        <v>377</v>
      </c>
      <c r="C14" s="34" t="n">
        <f aca="false">SUMPRODUCT(((ROSTER!P$4:P$50="E")*CONFIG!$B$9+(ROSTER!P$4:P$50="L")*CONFIG!$B$10+(ROSTER!P$4:P$50="EL")*CONFIG!$B$11+(ROSTER!P$4:P$50="N")*CONFIG!$B$12+(ROSTER!P$4:P$50="OC-E")*CONFIG!$B$9+(ROSTER!P$4:P$50="OC-L")*CONFIG!$B$10+(ROSTER!P$4:P$50="OC-EL")*CONFIG!$B$11+(ROSTER!P$4:P$50="OC-N")*CONFIG!$B$12+(ROSTER!P$4:P$50="ADM")*CONFIG!$B$9+(ROSTER!P$4:P$50="TRN")*CONFIG!$B$9+(ROSTER!P$4:P$50="BH-D")*CONFIG!$B$11+(ROSTER!P$4:P$50="BH-N")*CONFIG!$B$12)*ROSTER!$AG$4:$AG$50)</f>
        <v>1548.125</v>
      </c>
      <c r="D14" s="34" t="n">
        <f aca="false">SUMPRODUCT(((ROSTER!P$4:P$50="OC-E")*CONFIG!$B$9+(ROSTER!P$4:P$50="OC-L")*CONFIG!$B$10+(ROSTER!P$4:P$50="OC-EL")*CONFIG!$B$11+(ROSTER!P$4:P$50="OC-N")*CONFIG!$B$12))*CONFIG!$B$28</f>
        <v>0</v>
      </c>
      <c r="E14" s="34" t="n">
        <f aca="false">(COUNTIF(ROSTER!P$4:P$50,"AG-E")*CONFIG!$B$9+COUNTIF(ROSTER!P$4:P$50,"AG-L")*CONFIG!$B$10)*CONFIG!$B$29</f>
        <v>0</v>
      </c>
      <c r="F14" s="34" t="n">
        <f aca="false">COUNTIF(ROSTER!P$4:P$50,"AG-N")*CONFIG!$B$12*CONFIG!$B$30</f>
        <v>0</v>
      </c>
      <c r="G14" s="34" t="n">
        <f aca="false">SUMPRODUCT((ROSTER!P$4:P$50="BH-D")*CONFIG!$B$11*ROSTER!$AG$4:$AG$50*(CONFIG!$B$46-1))+SUMPRODUCT((ROSTER!P$4:P$50="BH-N")*CONFIG!$B$12*ROSTER!$AG$4:$AG$50*(CONFIG!$B$46-1))</f>
        <v>0</v>
      </c>
      <c r="H14" s="34" t="n">
        <f aca="false">C14+D14+E14+F14+G14</f>
        <v>1548.125</v>
      </c>
      <c r="I14" s="34" t="n">
        <f aca="false">I13+H14</f>
        <v>18514.5</v>
      </c>
      <c r="J14" s="34"/>
      <c r="K14" s="34"/>
      <c r="L14" s="34"/>
      <c r="M14" s="34"/>
    </row>
    <row r="15" customFormat="false" ht="15" hidden="false" customHeight="true" outlineLevel="0" collapsed="false">
      <c r="A15" s="1" t="n">
        <v>13</v>
      </c>
      <c r="B15" s="1" t="s">
        <v>378</v>
      </c>
      <c r="C15" s="34" t="n">
        <f aca="false">SUMPRODUCT(((ROSTER!Q$4:Q$50="E")*CONFIG!$B$9+(ROSTER!Q$4:Q$50="L")*CONFIG!$B$10+(ROSTER!Q$4:Q$50="EL")*CONFIG!$B$11+(ROSTER!Q$4:Q$50="N")*CONFIG!$B$12+(ROSTER!Q$4:Q$50="OC-E")*CONFIG!$B$9+(ROSTER!Q$4:Q$50="OC-L")*CONFIG!$B$10+(ROSTER!Q$4:Q$50="OC-EL")*CONFIG!$B$11+(ROSTER!Q$4:Q$50="OC-N")*CONFIG!$B$12+(ROSTER!Q$4:Q$50="ADM")*CONFIG!$B$9+(ROSTER!Q$4:Q$50="TRN")*CONFIG!$B$9+(ROSTER!Q$4:Q$50="BH-D")*CONFIG!$B$11+(ROSTER!Q$4:Q$50="BH-N")*CONFIG!$B$12)*ROSTER!$AG$4:$AG$50)</f>
        <v>1548.125</v>
      </c>
      <c r="D15" s="34" t="n">
        <f aca="false">SUMPRODUCT(((ROSTER!Q$4:Q$50="OC-E")*CONFIG!$B$9+(ROSTER!Q$4:Q$50="OC-L")*CONFIG!$B$10+(ROSTER!Q$4:Q$50="OC-EL")*CONFIG!$B$11+(ROSTER!Q$4:Q$50="OC-N")*CONFIG!$B$12))*CONFIG!$B$28</f>
        <v>0</v>
      </c>
      <c r="E15" s="34" t="n">
        <f aca="false">(COUNTIF(ROSTER!Q$4:Q$50,"AG-E")*CONFIG!$B$9+COUNTIF(ROSTER!Q$4:Q$50,"AG-L")*CONFIG!$B$10)*CONFIG!$B$29</f>
        <v>0</v>
      </c>
      <c r="F15" s="34" t="n">
        <f aca="false">COUNTIF(ROSTER!Q$4:Q$50,"AG-N")*CONFIG!$B$12*CONFIG!$B$30</f>
        <v>0</v>
      </c>
      <c r="G15" s="34" t="n">
        <f aca="false">SUMPRODUCT((ROSTER!Q$4:Q$50="BH-D")*CONFIG!$B$11*ROSTER!$AG$4:$AG$50*(CONFIG!$B$46-1))+SUMPRODUCT((ROSTER!Q$4:Q$50="BH-N")*CONFIG!$B$12*ROSTER!$AG$4:$AG$50*(CONFIG!$B$46-1))</f>
        <v>0</v>
      </c>
      <c r="H15" s="34" t="n">
        <f aca="false">C15+D15+E15+F15+G15</f>
        <v>1548.125</v>
      </c>
      <c r="I15" s="34" t="n">
        <f aca="false">I14+H15</f>
        <v>20062.625</v>
      </c>
      <c r="J15" s="34"/>
      <c r="K15" s="34"/>
      <c r="L15" s="34"/>
      <c r="M15" s="34"/>
    </row>
    <row r="16" customFormat="false" ht="15" hidden="false" customHeight="true" outlineLevel="0" collapsed="false">
      <c r="A16" s="1" t="n">
        <v>14</v>
      </c>
      <c r="B16" s="1" t="s">
        <v>379</v>
      </c>
      <c r="C16" s="34" t="n">
        <f aca="false">SUMPRODUCT(((ROSTER!R$4:R$50="E")*CONFIG!$B$9+(ROSTER!R$4:R$50="L")*CONFIG!$B$10+(ROSTER!R$4:R$50="EL")*CONFIG!$B$11+(ROSTER!R$4:R$50="N")*CONFIG!$B$12+(ROSTER!R$4:R$50="OC-E")*CONFIG!$B$9+(ROSTER!R$4:R$50="OC-L")*CONFIG!$B$10+(ROSTER!R$4:R$50="OC-EL")*CONFIG!$B$11+(ROSTER!R$4:R$50="OC-N")*CONFIG!$B$12+(ROSTER!R$4:R$50="ADM")*CONFIG!$B$9+(ROSTER!R$4:R$50="TRN")*CONFIG!$B$9+(ROSTER!R$4:R$50="BH-D")*CONFIG!$B$11+(ROSTER!R$4:R$50="BH-N")*CONFIG!$B$12)*ROSTER!$AG$4:$AG$50)</f>
        <v>1548.125</v>
      </c>
      <c r="D16" s="34" t="n">
        <f aca="false">SUMPRODUCT(((ROSTER!R$4:R$50="OC-E")*CONFIG!$B$9+(ROSTER!R$4:R$50="OC-L")*CONFIG!$B$10+(ROSTER!R$4:R$50="OC-EL")*CONFIG!$B$11+(ROSTER!R$4:R$50="OC-N")*CONFIG!$B$12))*CONFIG!$B$28</f>
        <v>0</v>
      </c>
      <c r="E16" s="34" t="n">
        <f aca="false">(COUNTIF(ROSTER!R$4:R$50,"AG-E")*CONFIG!$B$9+COUNTIF(ROSTER!R$4:R$50,"AG-L")*CONFIG!$B$10)*CONFIG!$B$29</f>
        <v>0</v>
      </c>
      <c r="F16" s="34" t="n">
        <f aca="false">COUNTIF(ROSTER!R$4:R$50,"AG-N")*CONFIG!$B$12*CONFIG!$B$30</f>
        <v>0</v>
      </c>
      <c r="G16" s="34" t="n">
        <f aca="false">SUMPRODUCT((ROSTER!R$4:R$50="BH-D")*CONFIG!$B$11*ROSTER!$AG$4:$AG$50*(CONFIG!$B$46-1))+SUMPRODUCT((ROSTER!R$4:R$50="BH-N")*CONFIG!$B$12*ROSTER!$AG$4:$AG$50*(CONFIG!$B$46-1))</f>
        <v>0</v>
      </c>
      <c r="H16" s="34" t="n">
        <f aca="false">C16+D16+E16+F16+G16</f>
        <v>1548.125</v>
      </c>
      <c r="I16" s="34" t="n">
        <f aca="false">I15+H16</f>
        <v>21610.75</v>
      </c>
      <c r="J16" s="34"/>
      <c r="K16" s="34"/>
      <c r="L16" s="34"/>
      <c r="M16" s="34"/>
    </row>
    <row r="17" customFormat="false" ht="15" hidden="false" customHeight="true" outlineLevel="0" collapsed="false">
      <c r="A17" s="1" t="n">
        <v>15</v>
      </c>
      <c r="B17" s="1" t="s">
        <v>373</v>
      </c>
      <c r="C17" s="34" t="n">
        <f aca="false">SUMPRODUCT(((ROSTER!S$4:S$50="E")*CONFIG!$B$9+(ROSTER!S$4:S$50="L")*CONFIG!$B$10+(ROSTER!S$4:S$50="EL")*CONFIG!$B$11+(ROSTER!S$4:S$50="N")*CONFIG!$B$12+(ROSTER!S$4:S$50="OC-E")*CONFIG!$B$9+(ROSTER!S$4:S$50="OC-L")*CONFIG!$B$10+(ROSTER!S$4:S$50="OC-EL")*CONFIG!$B$11+(ROSTER!S$4:S$50="OC-N")*CONFIG!$B$12+(ROSTER!S$4:S$50="ADM")*CONFIG!$B$9+(ROSTER!S$4:S$50="TRN")*CONFIG!$B$9+(ROSTER!S$4:S$50="BH-D")*CONFIG!$B$11+(ROSTER!S$4:S$50="BH-N")*CONFIG!$B$12)*ROSTER!$AG$4:$AG$50)</f>
        <v>1539.125</v>
      </c>
      <c r="D17" s="34" t="n">
        <f aca="false">SUMPRODUCT(((ROSTER!S$4:S$50="OC-E")*CONFIG!$B$9+(ROSTER!S$4:S$50="OC-L")*CONFIG!$B$10+(ROSTER!S$4:S$50="OC-EL")*CONFIG!$B$11+(ROSTER!S$4:S$50="OC-N")*CONFIG!$B$12))*CONFIG!$B$28</f>
        <v>0</v>
      </c>
      <c r="E17" s="34" t="n">
        <f aca="false">(COUNTIF(ROSTER!S$4:S$50,"AG-E")*CONFIG!$B$9+COUNTIF(ROSTER!S$4:S$50,"AG-L")*CONFIG!$B$10)*CONFIG!$B$29</f>
        <v>0</v>
      </c>
      <c r="F17" s="34" t="n">
        <f aca="false">COUNTIF(ROSTER!S$4:S$50,"AG-N")*CONFIG!$B$12*CONFIG!$B$30</f>
        <v>0</v>
      </c>
      <c r="G17" s="34" t="n">
        <f aca="false">SUMPRODUCT((ROSTER!S$4:S$50="BH-D")*CONFIG!$B$11*ROSTER!$AG$4:$AG$50*(CONFIG!$B$46-1))+SUMPRODUCT((ROSTER!S$4:S$50="BH-N")*CONFIG!$B$12*ROSTER!$AG$4:$AG$50*(CONFIG!$B$46-1))</f>
        <v>0</v>
      </c>
      <c r="H17" s="34" t="n">
        <f aca="false">C17+D17+E17+F17+G17</f>
        <v>1539.125</v>
      </c>
      <c r="I17" s="34" t="n">
        <f aca="false">I16+H17</f>
        <v>23149.875</v>
      </c>
      <c r="J17" s="34"/>
      <c r="K17" s="34"/>
      <c r="L17" s="34"/>
      <c r="M17" s="34"/>
    </row>
    <row r="18" customFormat="false" ht="15" hidden="false" customHeight="true" outlineLevel="0" collapsed="false">
      <c r="A18" s="1" t="n">
        <v>16</v>
      </c>
      <c r="B18" s="1" t="s">
        <v>374</v>
      </c>
      <c r="C18" s="34" t="n">
        <f aca="false">SUMPRODUCT(((ROSTER!T$4:T$50="E")*CONFIG!$B$9+(ROSTER!T$4:T$50="L")*CONFIG!$B$10+(ROSTER!T$4:T$50="EL")*CONFIG!$B$11+(ROSTER!T$4:T$50="N")*CONFIG!$B$12+(ROSTER!T$4:T$50="OC-E")*CONFIG!$B$9+(ROSTER!T$4:T$50="OC-L")*CONFIG!$B$10+(ROSTER!T$4:T$50="OC-EL")*CONFIG!$B$11+(ROSTER!T$4:T$50="OC-N")*CONFIG!$B$12+(ROSTER!T$4:T$50="ADM")*CONFIG!$B$9+(ROSTER!T$4:T$50="TRN")*CONFIG!$B$9+(ROSTER!T$4:T$50="BH-D")*CONFIG!$B$11+(ROSTER!T$4:T$50="BH-N")*CONFIG!$B$12)*ROSTER!$AG$4:$AG$50)</f>
        <v>1539.125</v>
      </c>
      <c r="D18" s="34" t="n">
        <f aca="false">SUMPRODUCT(((ROSTER!T$4:T$50="OC-E")*CONFIG!$B$9+(ROSTER!T$4:T$50="OC-L")*CONFIG!$B$10+(ROSTER!T$4:T$50="OC-EL")*CONFIG!$B$11+(ROSTER!T$4:T$50="OC-N")*CONFIG!$B$12))*CONFIG!$B$28</f>
        <v>0</v>
      </c>
      <c r="E18" s="34" t="n">
        <f aca="false">(COUNTIF(ROSTER!T$4:T$50,"AG-E")*CONFIG!$B$9+COUNTIF(ROSTER!T$4:T$50,"AG-L")*CONFIG!$B$10)*CONFIG!$B$29</f>
        <v>0</v>
      </c>
      <c r="F18" s="34" t="n">
        <f aca="false">COUNTIF(ROSTER!T$4:T$50,"AG-N")*CONFIG!$B$12*CONFIG!$B$30</f>
        <v>0</v>
      </c>
      <c r="G18" s="34" t="n">
        <f aca="false">SUMPRODUCT((ROSTER!T$4:T$50="BH-D")*CONFIG!$B$11*ROSTER!$AG$4:$AG$50*(CONFIG!$B$46-1))+SUMPRODUCT((ROSTER!T$4:T$50="BH-N")*CONFIG!$B$12*ROSTER!$AG$4:$AG$50*(CONFIG!$B$46-1))</f>
        <v>0</v>
      </c>
      <c r="H18" s="34" t="n">
        <f aca="false">C18+D18+E18+F18+G18</f>
        <v>1539.125</v>
      </c>
      <c r="I18" s="34" t="n">
        <f aca="false">I17+H18</f>
        <v>24689</v>
      </c>
      <c r="J18" s="34"/>
      <c r="K18" s="34"/>
      <c r="L18" s="34"/>
      <c r="M18" s="34"/>
    </row>
    <row r="19" customFormat="false" ht="15" hidden="false" customHeight="true" outlineLevel="0" collapsed="false">
      <c r="A19" s="1" t="n">
        <v>17</v>
      </c>
      <c r="B19" s="1" t="s">
        <v>375</v>
      </c>
      <c r="C19" s="34" t="n">
        <f aca="false">SUMPRODUCT(((ROSTER!U$4:U$50="E")*CONFIG!$B$9+(ROSTER!U$4:U$50="L")*CONFIG!$B$10+(ROSTER!U$4:U$50="EL")*CONFIG!$B$11+(ROSTER!U$4:U$50="N")*CONFIG!$B$12+(ROSTER!U$4:U$50="OC-E")*CONFIG!$B$9+(ROSTER!U$4:U$50="OC-L")*CONFIG!$B$10+(ROSTER!U$4:U$50="OC-EL")*CONFIG!$B$11+(ROSTER!U$4:U$50="OC-N")*CONFIG!$B$12+(ROSTER!U$4:U$50="ADM")*CONFIG!$B$9+(ROSTER!U$4:U$50="TRN")*CONFIG!$B$9+(ROSTER!U$4:U$50="BH-D")*CONFIG!$B$11+(ROSTER!U$4:U$50="BH-N")*CONFIG!$B$12)*ROSTER!$AG$4:$AG$50)</f>
        <v>1548.125</v>
      </c>
      <c r="D19" s="34" t="n">
        <f aca="false">SUMPRODUCT(((ROSTER!U$4:U$50="OC-E")*CONFIG!$B$9+(ROSTER!U$4:U$50="OC-L")*CONFIG!$B$10+(ROSTER!U$4:U$50="OC-EL")*CONFIG!$B$11+(ROSTER!U$4:U$50="OC-N")*CONFIG!$B$12))*CONFIG!$B$28</f>
        <v>0</v>
      </c>
      <c r="E19" s="34" t="n">
        <f aca="false">(COUNTIF(ROSTER!U$4:U$50,"AG-E")*CONFIG!$B$9+COUNTIF(ROSTER!U$4:U$50,"AG-L")*CONFIG!$B$10)*CONFIG!$B$29</f>
        <v>0</v>
      </c>
      <c r="F19" s="34" t="n">
        <f aca="false">COUNTIF(ROSTER!U$4:U$50,"AG-N")*CONFIG!$B$12*CONFIG!$B$30</f>
        <v>0</v>
      </c>
      <c r="G19" s="34" t="n">
        <f aca="false">SUMPRODUCT((ROSTER!U$4:U$50="BH-D")*CONFIG!$B$11*ROSTER!$AG$4:$AG$50*(CONFIG!$B$46-1))+SUMPRODUCT((ROSTER!U$4:U$50="BH-N")*CONFIG!$B$12*ROSTER!$AG$4:$AG$50*(CONFIG!$B$46-1))</f>
        <v>0</v>
      </c>
      <c r="H19" s="34" t="n">
        <f aca="false">C19+D19+E19+F19+G19</f>
        <v>1548.125</v>
      </c>
      <c r="I19" s="34" t="n">
        <f aca="false">I18+H19</f>
        <v>26237.125</v>
      </c>
      <c r="J19" s="34"/>
      <c r="K19" s="34"/>
      <c r="L19" s="34"/>
      <c r="M19" s="34"/>
    </row>
    <row r="20" customFormat="false" ht="15" hidden="false" customHeight="true" outlineLevel="0" collapsed="false">
      <c r="A20" s="1" t="n">
        <v>18</v>
      </c>
      <c r="B20" s="1" t="s">
        <v>376</v>
      </c>
      <c r="C20" s="34" t="n">
        <f aca="false">SUMPRODUCT(((ROSTER!V$4:V$50="E")*CONFIG!$B$9+(ROSTER!V$4:V$50="L")*CONFIG!$B$10+(ROSTER!V$4:V$50="EL")*CONFIG!$B$11+(ROSTER!V$4:V$50="N")*CONFIG!$B$12+(ROSTER!V$4:V$50="OC-E")*CONFIG!$B$9+(ROSTER!V$4:V$50="OC-L")*CONFIG!$B$10+(ROSTER!V$4:V$50="OC-EL")*CONFIG!$B$11+(ROSTER!V$4:V$50="OC-N")*CONFIG!$B$12+(ROSTER!V$4:V$50="ADM")*CONFIG!$B$9+(ROSTER!V$4:V$50="TRN")*CONFIG!$B$9+(ROSTER!V$4:V$50="BH-D")*CONFIG!$B$11+(ROSTER!V$4:V$50="BH-N")*CONFIG!$B$12)*ROSTER!$AG$4:$AG$50)</f>
        <v>1548.125</v>
      </c>
      <c r="D20" s="34" t="n">
        <f aca="false">SUMPRODUCT(((ROSTER!V$4:V$50="OC-E")*CONFIG!$B$9+(ROSTER!V$4:V$50="OC-L")*CONFIG!$B$10+(ROSTER!V$4:V$50="OC-EL")*CONFIG!$B$11+(ROSTER!V$4:V$50="OC-N")*CONFIG!$B$12))*CONFIG!$B$28</f>
        <v>0</v>
      </c>
      <c r="E20" s="34" t="n">
        <f aca="false">(COUNTIF(ROSTER!V$4:V$50,"AG-E")*CONFIG!$B$9+COUNTIF(ROSTER!V$4:V$50,"AG-L")*CONFIG!$B$10)*CONFIG!$B$29</f>
        <v>0</v>
      </c>
      <c r="F20" s="34" t="n">
        <f aca="false">COUNTIF(ROSTER!V$4:V$50,"AG-N")*CONFIG!$B$12*CONFIG!$B$30</f>
        <v>0</v>
      </c>
      <c r="G20" s="34" t="n">
        <f aca="false">SUMPRODUCT((ROSTER!V$4:V$50="BH-D")*CONFIG!$B$11*ROSTER!$AG$4:$AG$50*(CONFIG!$B$46-1))+SUMPRODUCT((ROSTER!V$4:V$50="BH-N")*CONFIG!$B$12*ROSTER!$AG$4:$AG$50*(CONFIG!$B$46-1))</f>
        <v>0</v>
      </c>
      <c r="H20" s="34" t="n">
        <f aca="false">C20+D20+E20+F20+G20</f>
        <v>1548.125</v>
      </c>
      <c r="I20" s="34" t="n">
        <f aca="false">I19+H20</f>
        <v>27785.25</v>
      </c>
      <c r="J20" s="34"/>
      <c r="K20" s="34"/>
      <c r="L20" s="34"/>
      <c r="M20" s="34"/>
    </row>
    <row r="21" customFormat="false" ht="15" hidden="false" customHeight="true" outlineLevel="0" collapsed="false">
      <c r="A21" s="1" t="n">
        <v>19</v>
      </c>
      <c r="B21" s="1" t="s">
        <v>377</v>
      </c>
      <c r="C21" s="34" t="n">
        <f aca="false">SUMPRODUCT(((ROSTER!W$4:W$50="E")*CONFIG!$B$9+(ROSTER!W$4:W$50="L")*CONFIG!$B$10+(ROSTER!W$4:W$50="EL")*CONFIG!$B$11+(ROSTER!W$4:W$50="N")*CONFIG!$B$12+(ROSTER!W$4:W$50="OC-E")*CONFIG!$B$9+(ROSTER!W$4:W$50="OC-L")*CONFIG!$B$10+(ROSTER!W$4:W$50="OC-EL")*CONFIG!$B$11+(ROSTER!W$4:W$50="OC-N")*CONFIG!$B$12+(ROSTER!W$4:W$50="ADM")*CONFIG!$B$9+(ROSTER!W$4:W$50="TRN")*CONFIG!$B$9+(ROSTER!W$4:W$50="BH-D")*CONFIG!$B$11+(ROSTER!W$4:W$50="BH-N")*CONFIG!$B$12)*ROSTER!$AG$4:$AG$50)</f>
        <v>1539.125</v>
      </c>
      <c r="D21" s="34" t="n">
        <f aca="false">SUMPRODUCT(((ROSTER!W$4:W$50="OC-E")*CONFIG!$B$9+(ROSTER!W$4:W$50="OC-L")*CONFIG!$B$10+(ROSTER!W$4:W$50="OC-EL")*CONFIG!$B$11+(ROSTER!W$4:W$50="OC-N")*CONFIG!$B$12))*CONFIG!$B$28</f>
        <v>0</v>
      </c>
      <c r="E21" s="34" t="n">
        <f aca="false">(COUNTIF(ROSTER!W$4:W$50,"AG-E")*CONFIG!$B$9+COUNTIF(ROSTER!W$4:W$50,"AG-L")*CONFIG!$B$10)*CONFIG!$B$29</f>
        <v>0</v>
      </c>
      <c r="F21" s="34" t="n">
        <f aca="false">COUNTIF(ROSTER!W$4:W$50,"AG-N")*CONFIG!$B$12*CONFIG!$B$30</f>
        <v>0</v>
      </c>
      <c r="G21" s="34" t="n">
        <f aca="false">SUMPRODUCT((ROSTER!W$4:W$50="BH-D")*CONFIG!$B$11*ROSTER!$AG$4:$AG$50*(CONFIG!$B$46-1))+SUMPRODUCT((ROSTER!W$4:W$50="BH-N")*CONFIG!$B$12*ROSTER!$AG$4:$AG$50*(CONFIG!$B$46-1))</f>
        <v>0</v>
      </c>
      <c r="H21" s="34" t="n">
        <f aca="false">C21+D21+E21+F21+G21</f>
        <v>1539.125</v>
      </c>
      <c r="I21" s="34" t="n">
        <f aca="false">I20+H21</f>
        <v>29324.375</v>
      </c>
      <c r="J21" s="34"/>
      <c r="K21" s="34"/>
      <c r="L21" s="34"/>
      <c r="M21" s="34"/>
    </row>
    <row r="22" customFormat="false" ht="15" hidden="false" customHeight="true" outlineLevel="0" collapsed="false">
      <c r="A22" s="1" t="n">
        <v>20</v>
      </c>
      <c r="B22" s="1" t="s">
        <v>378</v>
      </c>
      <c r="C22" s="34" t="n">
        <f aca="false">SUMPRODUCT(((ROSTER!X$4:X$50="E")*CONFIG!$B$9+(ROSTER!X$4:X$50="L")*CONFIG!$B$10+(ROSTER!X$4:X$50="EL")*CONFIG!$B$11+(ROSTER!X$4:X$50="N")*CONFIG!$B$12+(ROSTER!X$4:X$50="OC-E")*CONFIG!$B$9+(ROSTER!X$4:X$50="OC-L")*CONFIG!$B$10+(ROSTER!X$4:X$50="OC-EL")*CONFIG!$B$11+(ROSTER!X$4:X$50="OC-N")*CONFIG!$B$12+(ROSTER!X$4:X$50="ADM")*CONFIG!$B$9+(ROSTER!X$4:X$50="TRN")*CONFIG!$B$9+(ROSTER!X$4:X$50="BH-D")*CONFIG!$B$11+(ROSTER!X$4:X$50="BH-N")*CONFIG!$B$12)*ROSTER!$AG$4:$AG$50)</f>
        <v>1539.125</v>
      </c>
      <c r="D22" s="34" t="n">
        <f aca="false">SUMPRODUCT(((ROSTER!X$4:X$50="OC-E")*CONFIG!$B$9+(ROSTER!X$4:X$50="OC-L")*CONFIG!$B$10+(ROSTER!X$4:X$50="OC-EL")*CONFIG!$B$11+(ROSTER!X$4:X$50="OC-N")*CONFIG!$B$12))*CONFIG!$B$28</f>
        <v>0</v>
      </c>
      <c r="E22" s="34" t="n">
        <f aca="false">(COUNTIF(ROSTER!X$4:X$50,"AG-E")*CONFIG!$B$9+COUNTIF(ROSTER!X$4:X$50,"AG-L")*CONFIG!$B$10)*CONFIG!$B$29</f>
        <v>0</v>
      </c>
      <c r="F22" s="34" t="n">
        <f aca="false">COUNTIF(ROSTER!X$4:X$50,"AG-N")*CONFIG!$B$12*CONFIG!$B$30</f>
        <v>0</v>
      </c>
      <c r="G22" s="34" t="n">
        <f aca="false">SUMPRODUCT((ROSTER!X$4:X$50="BH-D")*CONFIG!$B$11*ROSTER!$AG$4:$AG$50*(CONFIG!$B$46-1))+SUMPRODUCT((ROSTER!X$4:X$50="BH-N")*CONFIG!$B$12*ROSTER!$AG$4:$AG$50*(CONFIG!$B$46-1))</f>
        <v>0</v>
      </c>
      <c r="H22" s="34" t="n">
        <f aca="false">C22+D22+E22+F22+G22</f>
        <v>1539.125</v>
      </c>
      <c r="I22" s="34" t="n">
        <f aca="false">I21+H22</f>
        <v>30863.5</v>
      </c>
      <c r="J22" s="34"/>
      <c r="K22" s="34"/>
      <c r="L22" s="34"/>
      <c r="M22" s="34"/>
    </row>
    <row r="23" customFormat="false" ht="15" hidden="false" customHeight="true" outlineLevel="0" collapsed="false">
      <c r="A23" s="1" t="n">
        <v>21</v>
      </c>
      <c r="B23" s="1" t="s">
        <v>379</v>
      </c>
      <c r="C23" s="34" t="n">
        <f aca="false">SUMPRODUCT(((ROSTER!Y$4:Y$50="E")*CONFIG!$B$9+(ROSTER!Y$4:Y$50="L")*CONFIG!$B$10+(ROSTER!Y$4:Y$50="EL")*CONFIG!$B$11+(ROSTER!Y$4:Y$50="N")*CONFIG!$B$12+(ROSTER!Y$4:Y$50="OC-E")*CONFIG!$B$9+(ROSTER!Y$4:Y$50="OC-L")*CONFIG!$B$10+(ROSTER!Y$4:Y$50="OC-EL")*CONFIG!$B$11+(ROSTER!Y$4:Y$50="OC-N")*CONFIG!$B$12+(ROSTER!Y$4:Y$50="ADM")*CONFIG!$B$9+(ROSTER!Y$4:Y$50="TRN")*CONFIG!$B$9+(ROSTER!Y$4:Y$50="BH-D")*CONFIG!$B$11+(ROSTER!Y$4:Y$50="BH-N")*CONFIG!$B$12)*ROSTER!$AG$4:$AG$50)</f>
        <v>1539.125</v>
      </c>
      <c r="D23" s="34" t="n">
        <f aca="false">SUMPRODUCT(((ROSTER!Y$4:Y$50="OC-E")*CONFIG!$B$9+(ROSTER!Y$4:Y$50="OC-L")*CONFIG!$B$10+(ROSTER!Y$4:Y$50="OC-EL")*CONFIG!$B$11+(ROSTER!Y$4:Y$50="OC-N")*CONFIG!$B$12))*CONFIG!$B$28</f>
        <v>0</v>
      </c>
      <c r="E23" s="34" t="n">
        <f aca="false">(COUNTIF(ROSTER!Y$4:Y$50,"AG-E")*CONFIG!$B$9+COUNTIF(ROSTER!Y$4:Y$50,"AG-L")*CONFIG!$B$10)*CONFIG!$B$29</f>
        <v>0</v>
      </c>
      <c r="F23" s="34" t="n">
        <f aca="false">COUNTIF(ROSTER!Y$4:Y$50,"AG-N")*CONFIG!$B$12*CONFIG!$B$30</f>
        <v>0</v>
      </c>
      <c r="G23" s="34" t="n">
        <f aca="false">SUMPRODUCT((ROSTER!Y$4:Y$50="BH-D")*CONFIG!$B$11*ROSTER!$AG$4:$AG$50*(CONFIG!$B$46-1))+SUMPRODUCT((ROSTER!Y$4:Y$50="BH-N")*CONFIG!$B$12*ROSTER!$AG$4:$AG$50*(CONFIG!$B$46-1))</f>
        <v>0</v>
      </c>
      <c r="H23" s="34" t="n">
        <f aca="false">C23+D23+E23+F23+G23</f>
        <v>1539.125</v>
      </c>
      <c r="I23" s="34" t="n">
        <f aca="false">I22+H23</f>
        <v>32402.625</v>
      </c>
      <c r="J23" s="34"/>
      <c r="K23" s="34"/>
      <c r="L23" s="34"/>
      <c r="M23" s="34"/>
    </row>
    <row r="24" customFormat="false" ht="15" hidden="false" customHeight="true" outlineLevel="0" collapsed="false">
      <c r="A24" s="1" t="n">
        <v>22</v>
      </c>
      <c r="B24" s="1" t="s">
        <v>373</v>
      </c>
      <c r="C24" s="34" t="n">
        <f aca="false">SUMPRODUCT(((ROSTER!Z$4:Z$50="E")*CONFIG!$B$9+(ROSTER!Z$4:Z$50="L")*CONFIG!$B$10+(ROSTER!Z$4:Z$50="EL")*CONFIG!$B$11+(ROSTER!Z$4:Z$50="N")*CONFIG!$B$12+(ROSTER!Z$4:Z$50="OC-E")*CONFIG!$B$9+(ROSTER!Z$4:Z$50="OC-L")*CONFIG!$B$10+(ROSTER!Z$4:Z$50="OC-EL")*CONFIG!$B$11+(ROSTER!Z$4:Z$50="OC-N")*CONFIG!$B$12+(ROSTER!Z$4:Z$50="ADM")*CONFIG!$B$9+(ROSTER!Z$4:Z$50="TRN")*CONFIG!$B$9+(ROSTER!Z$4:Z$50="BH-D")*CONFIG!$B$11+(ROSTER!Z$4:Z$50="BH-N")*CONFIG!$B$12)*ROSTER!$AG$4:$AG$50)</f>
        <v>1548.125</v>
      </c>
      <c r="D24" s="34" t="n">
        <f aca="false">SUMPRODUCT(((ROSTER!Z$4:Z$50="OC-E")*CONFIG!$B$9+(ROSTER!Z$4:Z$50="OC-L")*CONFIG!$B$10+(ROSTER!Z$4:Z$50="OC-EL")*CONFIG!$B$11+(ROSTER!Z$4:Z$50="OC-N")*CONFIG!$B$12))*CONFIG!$B$28</f>
        <v>0</v>
      </c>
      <c r="E24" s="34" t="n">
        <f aca="false">(COUNTIF(ROSTER!Z$4:Z$50,"AG-E")*CONFIG!$B$9+COUNTIF(ROSTER!Z$4:Z$50,"AG-L")*CONFIG!$B$10)*CONFIG!$B$29</f>
        <v>0</v>
      </c>
      <c r="F24" s="34" t="n">
        <f aca="false">COUNTIF(ROSTER!Z$4:Z$50,"AG-N")*CONFIG!$B$12*CONFIG!$B$30</f>
        <v>0</v>
      </c>
      <c r="G24" s="34" t="n">
        <f aca="false">SUMPRODUCT((ROSTER!Z$4:Z$50="BH-D")*CONFIG!$B$11*ROSTER!$AG$4:$AG$50*(CONFIG!$B$46-1))+SUMPRODUCT((ROSTER!Z$4:Z$50="BH-N")*CONFIG!$B$12*ROSTER!$AG$4:$AG$50*(CONFIG!$B$46-1))</f>
        <v>0</v>
      </c>
      <c r="H24" s="34" t="n">
        <f aca="false">C24+D24+E24+F24+G24</f>
        <v>1548.125</v>
      </c>
      <c r="I24" s="34" t="n">
        <f aca="false">I23+H24</f>
        <v>33950.75</v>
      </c>
      <c r="J24" s="34"/>
      <c r="K24" s="34"/>
      <c r="L24" s="34"/>
      <c r="M24" s="34"/>
    </row>
    <row r="25" customFormat="false" ht="15" hidden="false" customHeight="true" outlineLevel="0" collapsed="false">
      <c r="A25" s="1" t="n">
        <v>23</v>
      </c>
      <c r="B25" s="1" t="s">
        <v>374</v>
      </c>
      <c r="C25" s="34" t="n">
        <f aca="false">SUMPRODUCT(((ROSTER!AA$4:AA$50="E")*CONFIG!$B$9+(ROSTER!AA$4:AA$50="L")*CONFIG!$B$10+(ROSTER!AA$4:AA$50="EL")*CONFIG!$B$11+(ROSTER!AA$4:AA$50="N")*CONFIG!$B$12+(ROSTER!AA$4:AA$50="OC-E")*CONFIG!$B$9+(ROSTER!AA$4:AA$50="OC-L")*CONFIG!$B$10+(ROSTER!AA$4:AA$50="OC-EL")*CONFIG!$B$11+(ROSTER!AA$4:AA$50="OC-N")*CONFIG!$B$12+(ROSTER!AA$4:AA$50="ADM")*CONFIG!$B$9+(ROSTER!AA$4:AA$50="TRN")*CONFIG!$B$9+(ROSTER!AA$4:AA$50="BH-D")*CONFIG!$B$11+(ROSTER!AA$4:AA$50="BH-N")*CONFIG!$B$12)*ROSTER!$AG$4:$AG$50)</f>
        <v>1548.125</v>
      </c>
      <c r="D25" s="34" t="n">
        <f aca="false">SUMPRODUCT(((ROSTER!AA$4:AA$50="OC-E")*CONFIG!$B$9+(ROSTER!AA$4:AA$50="OC-L")*CONFIG!$B$10+(ROSTER!AA$4:AA$50="OC-EL")*CONFIG!$B$11+(ROSTER!AA$4:AA$50="OC-N")*CONFIG!$B$12))*CONFIG!$B$28</f>
        <v>0</v>
      </c>
      <c r="E25" s="34" t="n">
        <f aca="false">(COUNTIF(ROSTER!AA$4:AA$50,"AG-E")*CONFIG!$B$9+COUNTIF(ROSTER!AA$4:AA$50,"AG-L")*CONFIG!$B$10)*CONFIG!$B$29</f>
        <v>0</v>
      </c>
      <c r="F25" s="34" t="n">
        <f aca="false">COUNTIF(ROSTER!AA$4:AA$50,"AG-N")*CONFIG!$B$12*CONFIG!$B$30</f>
        <v>0</v>
      </c>
      <c r="G25" s="34" t="n">
        <f aca="false">SUMPRODUCT((ROSTER!AA$4:AA$50="BH-D")*CONFIG!$B$11*ROSTER!$AG$4:$AG$50*(CONFIG!$B$46-1))+SUMPRODUCT((ROSTER!AA$4:AA$50="BH-N")*CONFIG!$B$12*ROSTER!$AG$4:$AG$50*(CONFIG!$B$46-1))</f>
        <v>0</v>
      </c>
      <c r="H25" s="34" t="n">
        <f aca="false">C25+D25+E25+F25+G25</f>
        <v>1548.125</v>
      </c>
      <c r="I25" s="34" t="n">
        <f aca="false">I24+H25</f>
        <v>35498.875</v>
      </c>
      <c r="J25" s="34"/>
      <c r="K25" s="34"/>
      <c r="L25" s="34"/>
      <c r="M25" s="34"/>
    </row>
    <row r="26" customFormat="false" ht="15" hidden="false" customHeight="true" outlineLevel="0" collapsed="false">
      <c r="A26" s="1" t="n">
        <v>24</v>
      </c>
      <c r="B26" s="1" t="s">
        <v>375</v>
      </c>
      <c r="C26" s="34" t="n">
        <f aca="false">SUMPRODUCT(((ROSTER!AB$4:AB$50="E")*CONFIG!$B$9+(ROSTER!AB$4:AB$50="L")*CONFIG!$B$10+(ROSTER!AB$4:AB$50="EL")*CONFIG!$B$11+(ROSTER!AB$4:AB$50="N")*CONFIG!$B$12+(ROSTER!AB$4:AB$50="OC-E")*CONFIG!$B$9+(ROSTER!AB$4:AB$50="OC-L")*CONFIG!$B$10+(ROSTER!AB$4:AB$50="OC-EL")*CONFIG!$B$11+(ROSTER!AB$4:AB$50="OC-N")*CONFIG!$B$12+(ROSTER!AB$4:AB$50="ADM")*CONFIG!$B$9+(ROSTER!AB$4:AB$50="TRN")*CONFIG!$B$9+(ROSTER!AB$4:AB$50="BH-D")*CONFIG!$B$11+(ROSTER!AB$4:AB$50="BH-N")*CONFIG!$B$12)*ROSTER!$AG$4:$AG$50)</f>
        <v>1539.125</v>
      </c>
      <c r="D26" s="34" t="n">
        <f aca="false">SUMPRODUCT(((ROSTER!AB$4:AB$50="OC-E")*CONFIG!$B$9+(ROSTER!AB$4:AB$50="OC-L")*CONFIG!$B$10+(ROSTER!AB$4:AB$50="OC-EL")*CONFIG!$B$11+(ROSTER!AB$4:AB$50="OC-N")*CONFIG!$B$12))*CONFIG!$B$28</f>
        <v>0</v>
      </c>
      <c r="E26" s="34" t="n">
        <f aca="false">(COUNTIF(ROSTER!AB$4:AB$50,"AG-E")*CONFIG!$B$9+COUNTIF(ROSTER!AB$4:AB$50,"AG-L")*CONFIG!$B$10)*CONFIG!$B$29</f>
        <v>0</v>
      </c>
      <c r="F26" s="34" t="n">
        <f aca="false">COUNTIF(ROSTER!AB$4:AB$50,"AG-N")*CONFIG!$B$12*CONFIG!$B$30</f>
        <v>0</v>
      </c>
      <c r="G26" s="34" t="n">
        <f aca="false">SUMPRODUCT((ROSTER!AB$4:AB$50="BH-D")*CONFIG!$B$11*ROSTER!$AG$4:$AG$50*(CONFIG!$B$46-1))+SUMPRODUCT((ROSTER!AB$4:AB$50="BH-N")*CONFIG!$B$12*ROSTER!$AG$4:$AG$50*(CONFIG!$B$46-1))</f>
        <v>0</v>
      </c>
      <c r="H26" s="34" t="n">
        <f aca="false">C26+D26+E26+F26+G26</f>
        <v>1539.125</v>
      </c>
      <c r="I26" s="34" t="n">
        <f aca="false">I25+H26</f>
        <v>37038</v>
      </c>
      <c r="J26" s="34"/>
      <c r="K26" s="34"/>
      <c r="L26" s="34"/>
      <c r="M26" s="34"/>
    </row>
    <row r="27" customFormat="false" ht="15" hidden="false" customHeight="true" outlineLevel="0" collapsed="false">
      <c r="A27" s="1" t="n">
        <v>25</v>
      </c>
      <c r="B27" s="1" t="s">
        <v>376</v>
      </c>
      <c r="C27" s="34" t="n">
        <f aca="false">SUMPRODUCT(((ROSTER!AC$4:AC$50="E")*CONFIG!$B$9+(ROSTER!AC$4:AC$50="L")*CONFIG!$B$10+(ROSTER!AC$4:AC$50="EL")*CONFIG!$B$11+(ROSTER!AC$4:AC$50="N")*CONFIG!$B$12+(ROSTER!AC$4:AC$50="OC-E")*CONFIG!$B$9+(ROSTER!AC$4:AC$50="OC-L")*CONFIG!$B$10+(ROSTER!AC$4:AC$50="OC-EL")*CONFIG!$B$11+(ROSTER!AC$4:AC$50="OC-N")*CONFIG!$B$12+(ROSTER!AC$4:AC$50="ADM")*CONFIG!$B$9+(ROSTER!AC$4:AC$50="TRN")*CONFIG!$B$9+(ROSTER!AC$4:AC$50="BH-D")*CONFIG!$B$11+(ROSTER!AC$4:AC$50="BH-N")*CONFIG!$B$12)*ROSTER!$AG$4:$AG$50)</f>
        <v>1539.125</v>
      </c>
      <c r="D27" s="34" t="n">
        <f aca="false">SUMPRODUCT(((ROSTER!AC$4:AC$50="OC-E")*CONFIG!$B$9+(ROSTER!AC$4:AC$50="OC-L")*CONFIG!$B$10+(ROSTER!AC$4:AC$50="OC-EL")*CONFIG!$B$11+(ROSTER!AC$4:AC$50="OC-N")*CONFIG!$B$12))*CONFIG!$B$28</f>
        <v>0</v>
      </c>
      <c r="E27" s="34" t="n">
        <f aca="false">(COUNTIF(ROSTER!AC$4:AC$50,"AG-E")*CONFIG!$B$9+COUNTIF(ROSTER!AC$4:AC$50,"AG-L")*CONFIG!$B$10)*CONFIG!$B$29</f>
        <v>0</v>
      </c>
      <c r="F27" s="34" t="n">
        <f aca="false">COUNTIF(ROSTER!AC$4:AC$50,"AG-N")*CONFIG!$B$12*CONFIG!$B$30</f>
        <v>0</v>
      </c>
      <c r="G27" s="34" t="n">
        <f aca="false">SUMPRODUCT((ROSTER!AC$4:AC$50="BH-D")*CONFIG!$B$11*ROSTER!$AG$4:$AG$50*(CONFIG!$B$46-1))+SUMPRODUCT((ROSTER!AC$4:AC$50="BH-N")*CONFIG!$B$12*ROSTER!$AG$4:$AG$50*(CONFIG!$B$46-1))</f>
        <v>0</v>
      </c>
      <c r="H27" s="34" t="n">
        <f aca="false">C27+D27+E27+F27+G27</f>
        <v>1539.125</v>
      </c>
      <c r="I27" s="34" t="n">
        <f aca="false">I26+H27</f>
        <v>38577.125</v>
      </c>
      <c r="J27" s="34"/>
      <c r="K27" s="34"/>
      <c r="L27" s="34"/>
      <c r="M27" s="34"/>
    </row>
    <row r="28" customFormat="false" ht="15" hidden="false" customHeight="true" outlineLevel="0" collapsed="false">
      <c r="A28" s="1" t="n">
        <v>26</v>
      </c>
      <c r="B28" s="1" t="s">
        <v>377</v>
      </c>
      <c r="C28" s="34" t="n">
        <f aca="false">SUMPRODUCT(((ROSTER!AD$4:AD$50="E")*CONFIG!$B$9+(ROSTER!AD$4:AD$50="L")*CONFIG!$B$10+(ROSTER!AD$4:AD$50="EL")*CONFIG!$B$11+(ROSTER!AD$4:AD$50="N")*CONFIG!$B$12+(ROSTER!AD$4:AD$50="OC-E")*CONFIG!$B$9+(ROSTER!AD$4:AD$50="OC-L")*CONFIG!$B$10+(ROSTER!AD$4:AD$50="OC-EL")*CONFIG!$B$11+(ROSTER!AD$4:AD$50="OC-N")*CONFIG!$B$12+(ROSTER!AD$4:AD$50="ADM")*CONFIG!$B$9+(ROSTER!AD$4:AD$50="TRN")*CONFIG!$B$9+(ROSTER!AD$4:AD$50="BH-D")*CONFIG!$B$11+(ROSTER!AD$4:AD$50="BH-N")*CONFIG!$B$12)*ROSTER!$AG$4:$AG$50)</f>
        <v>1548.125</v>
      </c>
      <c r="D28" s="34" t="n">
        <f aca="false">SUMPRODUCT(((ROSTER!AD$4:AD$50="OC-E")*CONFIG!$B$9+(ROSTER!AD$4:AD$50="OC-L")*CONFIG!$B$10+(ROSTER!AD$4:AD$50="OC-EL")*CONFIG!$B$11+(ROSTER!AD$4:AD$50="OC-N")*CONFIG!$B$12))*CONFIG!$B$28</f>
        <v>0</v>
      </c>
      <c r="E28" s="34" t="n">
        <f aca="false">(COUNTIF(ROSTER!AD$4:AD$50,"AG-E")*CONFIG!$B$9+COUNTIF(ROSTER!AD$4:AD$50,"AG-L")*CONFIG!$B$10)*CONFIG!$B$29</f>
        <v>0</v>
      </c>
      <c r="F28" s="34" t="n">
        <f aca="false">COUNTIF(ROSTER!AD$4:AD$50,"AG-N")*CONFIG!$B$12*CONFIG!$B$30</f>
        <v>0</v>
      </c>
      <c r="G28" s="34" t="n">
        <f aca="false">SUMPRODUCT((ROSTER!AD$4:AD$50="BH-D")*CONFIG!$B$11*ROSTER!$AG$4:$AG$50*(CONFIG!$B$46-1))+SUMPRODUCT((ROSTER!AD$4:AD$50="BH-N")*CONFIG!$B$12*ROSTER!$AG$4:$AG$50*(CONFIG!$B$46-1))</f>
        <v>0</v>
      </c>
      <c r="H28" s="34" t="n">
        <f aca="false">C28+D28+E28+F28+G28</f>
        <v>1548.125</v>
      </c>
      <c r="I28" s="34" t="n">
        <f aca="false">I27+H28</f>
        <v>40125.25</v>
      </c>
      <c r="J28" s="34"/>
      <c r="K28" s="34"/>
      <c r="L28" s="34"/>
      <c r="M28" s="34"/>
    </row>
    <row r="29" customFormat="false" ht="15" hidden="false" customHeight="true" outlineLevel="0" collapsed="false">
      <c r="A29" s="1" t="n">
        <v>27</v>
      </c>
      <c r="B29" s="1" t="s">
        <v>378</v>
      </c>
      <c r="C29" s="34" t="n">
        <f aca="false">SUMPRODUCT(((ROSTER!AE$4:AE$50="E")*CONFIG!$B$9+(ROSTER!AE$4:AE$50="L")*CONFIG!$B$10+(ROSTER!AE$4:AE$50="EL")*CONFIG!$B$11+(ROSTER!AE$4:AE$50="N")*CONFIG!$B$12+(ROSTER!AE$4:AE$50="OC-E")*CONFIG!$B$9+(ROSTER!AE$4:AE$50="OC-L")*CONFIG!$B$10+(ROSTER!AE$4:AE$50="OC-EL")*CONFIG!$B$11+(ROSTER!AE$4:AE$50="OC-N")*CONFIG!$B$12+(ROSTER!AE$4:AE$50="ADM")*CONFIG!$B$9+(ROSTER!AE$4:AE$50="TRN")*CONFIG!$B$9+(ROSTER!AE$4:AE$50="BH-D")*CONFIG!$B$11+(ROSTER!AE$4:AE$50="BH-N")*CONFIG!$B$12)*ROSTER!$AG$4:$AG$50)</f>
        <v>1548.125</v>
      </c>
      <c r="D29" s="34" t="n">
        <f aca="false">SUMPRODUCT(((ROSTER!AE$4:AE$50="OC-E")*CONFIG!$B$9+(ROSTER!AE$4:AE$50="OC-L")*CONFIG!$B$10+(ROSTER!AE$4:AE$50="OC-EL")*CONFIG!$B$11+(ROSTER!AE$4:AE$50="OC-N")*CONFIG!$B$12))*CONFIG!$B$28</f>
        <v>0</v>
      </c>
      <c r="E29" s="34" t="n">
        <f aca="false">(COUNTIF(ROSTER!AE$4:AE$50,"AG-E")*CONFIG!$B$9+COUNTIF(ROSTER!AE$4:AE$50,"AG-L")*CONFIG!$B$10)*CONFIG!$B$29</f>
        <v>0</v>
      </c>
      <c r="F29" s="34" t="n">
        <f aca="false">COUNTIF(ROSTER!AE$4:AE$50,"AG-N")*CONFIG!$B$12*CONFIG!$B$30</f>
        <v>0</v>
      </c>
      <c r="G29" s="34" t="n">
        <f aca="false">SUMPRODUCT((ROSTER!AE$4:AE$50="BH-D")*CONFIG!$B$11*ROSTER!$AG$4:$AG$50*(CONFIG!$B$46-1))+SUMPRODUCT((ROSTER!AE$4:AE$50="BH-N")*CONFIG!$B$12*ROSTER!$AG$4:$AG$50*(CONFIG!$B$46-1))</f>
        <v>0</v>
      </c>
      <c r="H29" s="34" t="n">
        <f aca="false">C29+D29+E29+F29+G29</f>
        <v>1548.125</v>
      </c>
      <c r="I29" s="34" t="n">
        <f aca="false">I28+H29</f>
        <v>41673.375</v>
      </c>
      <c r="J29" s="34"/>
      <c r="K29" s="34"/>
      <c r="L29" s="34"/>
      <c r="M29" s="34"/>
    </row>
    <row r="30" customFormat="false" ht="15" hidden="false" customHeight="true" outlineLevel="0" collapsed="false">
      <c r="A30" s="1" t="n">
        <v>28</v>
      </c>
      <c r="B30" s="1" t="s">
        <v>379</v>
      </c>
      <c r="C30" s="34" t="n">
        <f aca="false">SUMPRODUCT(((ROSTER!AF$4:AF$50="E")*CONFIG!$B$9+(ROSTER!AF$4:AF$50="L")*CONFIG!$B$10+(ROSTER!AF$4:AF$50="EL")*CONFIG!$B$11+(ROSTER!AF$4:AF$50="N")*CONFIG!$B$12+(ROSTER!AF$4:AF$50="OC-E")*CONFIG!$B$9+(ROSTER!AF$4:AF$50="OC-L")*CONFIG!$B$10+(ROSTER!AF$4:AF$50="OC-EL")*CONFIG!$B$11+(ROSTER!AF$4:AF$50="OC-N")*CONFIG!$B$12+(ROSTER!AF$4:AF$50="ADM")*CONFIG!$B$9+(ROSTER!AF$4:AF$50="TRN")*CONFIG!$B$9+(ROSTER!AF$4:AF$50="BH-D")*CONFIG!$B$11+(ROSTER!AF$4:AF$50="BH-N")*CONFIG!$B$12)*ROSTER!$AG$4:$AG$50)</f>
        <v>1548.125</v>
      </c>
      <c r="D30" s="34" t="n">
        <f aca="false">SUMPRODUCT(((ROSTER!AF$4:AF$50="OC-E")*CONFIG!$B$9+(ROSTER!AF$4:AF$50="OC-L")*CONFIG!$B$10+(ROSTER!AF$4:AF$50="OC-EL")*CONFIG!$B$11+(ROSTER!AF$4:AF$50="OC-N")*CONFIG!$B$12))*CONFIG!$B$28</f>
        <v>0</v>
      </c>
      <c r="E30" s="34" t="n">
        <f aca="false">(COUNTIF(ROSTER!AF$4:AF$50,"AG-E")*CONFIG!$B$9+COUNTIF(ROSTER!AF$4:AF$50,"AG-L")*CONFIG!$B$10)*CONFIG!$B$29</f>
        <v>0</v>
      </c>
      <c r="F30" s="34" t="n">
        <f aca="false">COUNTIF(ROSTER!AF$4:AF$50,"AG-N")*CONFIG!$B$12*CONFIG!$B$30</f>
        <v>0</v>
      </c>
      <c r="G30" s="34" t="n">
        <f aca="false">SUMPRODUCT((ROSTER!AF$4:AF$50="BH-D")*CONFIG!$B$11*ROSTER!$AG$4:$AG$50*(CONFIG!$B$46-1))+SUMPRODUCT((ROSTER!AF$4:AF$50="BH-N")*CONFIG!$B$12*ROSTER!$AG$4:$AG$50*(CONFIG!$B$46-1))</f>
        <v>0</v>
      </c>
      <c r="H30" s="34" t="n">
        <f aca="false">C30+D30+E30+F30+G30</f>
        <v>1548.125</v>
      </c>
      <c r="I30" s="34" t="n">
        <f aca="false">I29+H30</f>
        <v>43221.5</v>
      </c>
      <c r="J30" s="34"/>
      <c r="K30" s="34"/>
      <c r="L30" s="34"/>
      <c r="M30" s="34"/>
    </row>
    <row r="31" customFormat="false" ht="15" hidden="false" customHeight="true" outlineLevel="0" collapsed="false">
      <c r="A31" s="10" t="s">
        <v>380</v>
      </c>
      <c r="C31" s="8" t="n">
        <f aca="false">SUM(C3:C30)</f>
        <v>43221.5</v>
      </c>
      <c r="D31" s="8" t="n">
        <f aca="false">SUM(D3:D30)</f>
        <v>0</v>
      </c>
      <c r="E31" s="8" t="n">
        <f aca="false">SUM(E3:E30)</f>
        <v>0</v>
      </c>
      <c r="F31" s="8" t="n">
        <f aca="false">SUM(F3:F30)</f>
        <v>0</v>
      </c>
      <c r="G31" s="8" t="n">
        <f aca="false">SUM(G3:G30)</f>
        <v>0</v>
      </c>
      <c r="H31" s="8" t="n">
        <f aca="false">SUM(H3:H30)</f>
        <v>43221.5</v>
      </c>
    </row>
    <row r="32" customFormat="false" ht="15" hidden="false" customHeight="true" outlineLevel="0" collapsed="false">
      <c r="A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true" outlineLevel="0" collapsed="false">
      <c r="A33" s="10" t="s">
        <v>381</v>
      </c>
    </row>
    <row r="34" customFormat="false" ht="15" hidden="false" customHeight="true" outlineLevel="0" collapsed="false">
      <c r="A34" s="10" t="s">
        <v>382</v>
      </c>
      <c r="B34" s="41" t="n">
        <f aca="false">C31</f>
        <v>43221.5</v>
      </c>
    </row>
    <row r="35" customFormat="false" ht="15" hidden="false" customHeight="true" outlineLevel="0" collapsed="false">
      <c r="A35" s="1" t="s">
        <v>174</v>
      </c>
      <c r="B35" s="42" t="n">
        <f aca="false">D31</f>
        <v>0</v>
      </c>
    </row>
    <row r="36" customFormat="false" ht="15" hidden="false" customHeight="true" outlineLevel="0" collapsed="false">
      <c r="A36" s="1" t="s">
        <v>383</v>
      </c>
      <c r="B36" s="42" t="n">
        <f aca="false">E31</f>
        <v>0</v>
      </c>
    </row>
    <row r="37" customFormat="false" ht="15" hidden="false" customHeight="true" outlineLevel="0" collapsed="false">
      <c r="A37" s="1" t="s">
        <v>384</v>
      </c>
      <c r="B37" s="42" t="n">
        <f aca="false">F31</f>
        <v>0</v>
      </c>
    </row>
    <row r="38" customFormat="false" ht="15" hidden="false" customHeight="true" outlineLevel="0" collapsed="false">
      <c r="A38" s="1" t="s">
        <v>385</v>
      </c>
      <c r="B38" s="42" t="n">
        <f aca="false">G31</f>
        <v>0</v>
      </c>
    </row>
    <row r="39" customFormat="false" ht="15" hidden="false" customHeight="true" outlineLevel="0" collapsed="false">
      <c r="A39" s="1" t="s">
        <v>386</v>
      </c>
      <c r="B39" s="41" t="n">
        <f aca="false">H31</f>
        <v>43221.5</v>
      </c>
    </row>
    <row r="40" customFormat="false" ht="15" hidden="false" customHeight="true" outlineLevel="0" collapsed="false">
      <c r="A40" s="8" t="s">
        <v>387</v>
      </c>
      <c r="B40" s="34" t="n">
        <f aca="false">IF(H31&gt;0,(E31+F31)/H31*100,0)</f>
        <v>0</v>
      </c>
    </row>
    <row r="41" customFormat="false" ht="15" hidden="false" customHeight="true" outlineLevel="0" collapsed="false">
      <c r="B4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1"/>
    <col collapsed="false" customWidth="true" hidden="false" outlineLevel="0" max="14" min="8" style="1" width="14"/>
  </cols>
  <sheetData>
    <row r="1" customFormat="false" ht="17.25" hidden="false" customHeight="true" outlineLevel="0" collapsed="false">
      <c r="A1" s="4" t="s">
        <v>388</v>
      </c>
    </row>
    <row r="2" customFormat="false" ht="15" hidden="false" customHeight="true" outlineLevel="0" collapsed="false">
      <c r="A2" s="43" t="s">
        <v>389</v>
      </c>
    </row>
    <row r="4" customFormat="false" ht="15" hidden="false" customHeight="true" outlineLevel="0" collapsed="false">
      <c r="A4" s="44" t="s">
        <v>390</v>
      </c>
      <c r="B4" s="45"/>
      <c r="C4" s="45"/>
      <c r="D4" s="45"/>
    </row>
    <row r="5" customFormat="false" ht="15" hidden="false" customHeight="true" outlineLevel="0" collapsed="false">
      <c r="A5" s="46" t="s">
        <v>391</v>
      </c>
      <c r="B5" s="47" t="n">
        <f aca="false">STAFF_DB!B38</f>
        <v>25</v>
      </c>
      <c r="D5" s="48" t="s">
        <v>392</v>
      </c>
    </row>
    <row r="6" customFormat="false" ht="15" hidden="false" customHeight="true" outlineLevel="0" collapsed="false">
      <c r="A6" s="46" t="s">
        <v>393</v>
      </c>
      <c r="B6" s="11" t="n">
        <v>28</v>
      </c>
      <c r="D6" s="48" t="s">
        <v>394</v>
      </c>
    </row>
    <row r="7" customFormat="false" ht="15" hidden="false" customHeight="true" outlineLevel="0" collapsed="false">
      <c r="A7" s="46" t="s">
        <v>395</v>
      </c>
      <c r="B7" s="47" t="n">
        <f aca="false">CONFIG!B11</f>
        <v>12.25</v>
      </c>
      <c r="C7" s="1" t="s">
        <v>396</v>
      </c>
      <c r="D7" s="48" t="s">
        <v>397</v>
      </c>
    </row>
    <row r="8" customFormat="false" ht="15" hidden="false" customHeight="true" outlineLevel="0" collapsed="false">
      <c r="A8" s="46" t="s">
        <v>398</v>
      </c>
      <c r="B8" s="47" t="n">
        <f aca="false">CONFIG!B12</f>
        <v>12.25</v>
      </c>
      <c r="C8" s="1" t="s">
        <v>396</v>
      </c>
      <c r="D8" s="48" t="s">
        <v>397</v>
      </c>
    </row>
    <row r="9" customFormat="false" ht="15" hidden="false" customHeight="true" outlineLevel="0" collapsed="false">
      <c r="A9" s="46" t="s">
        <v>399</v>
      </c>
      <c r="B9" s="49" t="n">
        <f aca="false">IFERROR(SUMPRODUCT((ROSTER!$AG$4:$AG$50)*(ROSTER!$C$4:$C$50&lt;&gt;"N")*(ROSTER!$B$4:$B$50&lt;&gt;"Float"))/COUNTIFS(ROSTER!$C$4:$C$50,"&lt;&gt;N",ROSTER!$B$4:$B$50,"&lt;&gt;Float"),0)</f>
        <v>5.03947368421053</v>
      </c>
      <c r="C9" s="1" t="s">
        <v>400</v>
      </c>
      <c r="D9" s="48" t="s">
        <v>401</v>
      </c>
    </row>
    <row r="10" customFormat="false" ht="15" hidden="false" customHeight="true" outlineLevel="0" collapsed="false">
      <c r="A10" s="46" t="s">
        <v>402</v>
      </c>
      <c r="B10" s="49" t="n">
        <f aca="false">IFERROR(SUMPRODUCT((ROSTER!$AG$4:$AG$50)*(ROSTER!$C$4:$C$50="N"))/COUNTIF(ROSTER!$C$4:$C$50,"N"),0)</f>
        <v>12</v>
      </c>
      <c r="C10" s="1" t="s">
        <v>400</v>
      </c>
      <c r="D10" s="48" t="s">
        <v>401</v>
      </c>
    </row>
    <row r="11" customFormat="false" ht="15" hidden="false" customHeight="true" outlineLevel="0" collapsed="false">
      <c r="A11" s="46" t="s">
        <v>174</v>
      </c>
      <c r="B11" s="49" t="n">
        <f aca="false">CONFIG!B28</f>
        <v>2</v>
      </c>
      <c r="C11" s="1" t="s">
        <v>400</v>
      </c>
      <c r="D11" s="48" t="s">
        <v>397</v>
      </c>
    </row>
    <row r="12" customFormat="false" ht="15" hidden="false" customHeight="true" outlineLevel="0" collapsed="false">
      <c r="A12" s="46" t="s">
        <v>403</v>
      </c>
      <c r="B12" s="49" t="n">
        <f aca="false">CONFIG!B29</f>
        <v>22</v>
      </c>
      <c r="C12" s="1" t="s">
        <v>400</v>
      </c>
      <c r="D12" s="48" t="s">
        <v>397</v>
      </c>
    </row>
    <row r="13" customFormat="false" ht="15" hidden="false" customHeight="true" outlineLevel="0" collapsed="false">
      <c r="A13" s="46" t="s">
        <v>404</v>
      </c>
      <c r="B13" s="49" t="n">
        <f aca="false">CONFIG!B30</f>
        <v>28</v>
      </c>
      <c r="C13" s="1" t="s">
        <v>400</v>
      </c>
      <c r="D13" s="48" t="s">
        <v>397</v>
      </c>
    </row>
    <row r="14" customFormat="false" ht="15" hidden="false" customHeight="true" outlineLevel="0" collapsed="false">
      <c r="A14" s="46" t="s">
        <v>405</v>
      </c>
      <c r="B14" s="47" t="n">
        <f aca="false">IFERROR(SUMPRODUCT((ROSTER!$B$4:$B$50&lt;&gt;"Float")*(ROSTER!$C$4:$C$50&lt;&gt;"N")*(ROSTER!$B$4:$B$50&lt;&gt;""))/2,0)</f>
        <v>8</v>
      </c>
      <c r="D14" s="48" t="s">
        <v>406</v>
      </c>
    </row>
    <row r="15" customFormat="false" ht="15" hidden="false" customHeight="true" outlineLevel="0" collapsed="false">
      <c r="A15" s="46" t="s">
        <v>407</v>
      </c>
      <c r="B15" s="47" t="n">
        <f aca="false">IFERROR(SUMPRODUCT((ROSTER!$C$4:$C$50="N")*(ROSTER!$B$4:$B$50&lt;&gt;""))/2,0)</f>
        <v>3</v>
      </c>
      <c r="D15" s="48" t="s">
        <v>406</v>
      </c>
    </row>
    <row r="16" customFormat="false" ht="15" hidden="false" customHeight="true" outlineLevel="0" collapsed="false">
      <c r="A16" s="46" t="s">
        <v>408</v>
      </c>
      <c r="B16" s="47" t="n">
        <f aca="false">COUNTIF(ROSTER!$B$4:$B$50,"Float")</f>
        <v>3</v>
      </c>
      <c r="D16" s="48" t="s">
        <v>409</v>
      </c>
    </row>
    <row r="17" customFormat="false" ht="15" hidden="false" customHeight="true" outlineLevel="0" collapsed="false">
      <c r="A17" s="46" t="s">
        <v>410</v>
      </c>
      <c r="B17" s="11" t="n">
        <v>4</v>
      </c>
      <c r="D17" s="48" t="s">
        <v>411</v>
      </c>
    </row>
    <row r="18" customFormat="false" ht="15" hidden="false" customHeight="true" outlineLevel="0" collapsed="false">
      <c r="A18" s="1" t="s">
        <v>211</v>
      </c>
      <c r="B18" s="47" t="n">
        <f aca="false">CONFIG!B52</f>
        <v>0.3</v>
      </c>
      <c r="C18" s="1" t="s">
        <v>206</v>
      </c>
      <c r="D18" s="48" t="s">
        <v>397</v>
      </c>
    </row>
    <row r="19" customFormat="false" ht="15" hidden="false" customHeight="true" outlineLevel="0" collapsed="false">
      <c r="A19" s="1" t="s">
        <v>412</v>
      </c>
      <c r="B19" s="47" t="n">
        <f aca="false">IFERROR(SUMPRODUCT((ROSTER!$AG$4:$AG$50)*(ROSTER!$B$4:$B$50="Float"))/COUNTIF(ROSTER!$B$4:$B$50,"Float"),0)</f>
        <v>12</v>
      </c>
      <c r="C19" s="1" t="s">
        <v>400</v>
      </c>
      <c r="D19" s="48" t="s">
        <v>413</v>
      </c>
    </row>
    <row r="20" customFormat="false" ht="23.25" hidden="false" customHeight="tru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customFormat="false" ht="15" hidden="false" customHeight="true" outlineLevel="0" collapsed="false">
      <c r="A21" s="51"/>
      <c r="B21" s="52"/>
      <c r="C21" s="52"/>
      <c r="D21" s="30"/>
      <c r="E21" s="30"/>
      <c r="F21" s="30"/>
      <c r="G21" s="30"/>
      <c r="H21" s="53"/>
      <c r="I21" s="54"/>
      <c r="J21" s="54"/>
      <c r="K21" s="53"/>
      <c r="L21" s="55"/>
      <c r="M21" s="54"/>
      <c r="N21" s="56"/>
    </row>
    <row r="22" customFormat="false" ht="15" hidden="false" customHeight="true" outlineLevel="0" collapsed="false">
      <c r="A22" s="57" t="s">
        <v>414</v>
      </c>
      <c r="B22" s="57" t="s">
        <v>415</v>
      </c>
      <c r="C22" s="57" t="s">
        <v>416</v>
      </c>
      <c r="D22" s="57" t="s">
        <v>417</v>
      </c>
      <c r="E22" s="57" t="s">
        <v>418</v>
      </c>
      <c r="F22" s="57" t="s">
        <v>419</v>
      </c>
      <c r="G22" s="57" t="s">
        <v>420</v>
      </c>
      <c r="H22" s="58" t="s">
        <v>421</v>
      </c>
      <c r="I22" s="58" t="s">
        <v>422</v>
      </c>
      <c r="J22" s="58" t="s">
        <v>423</v>
      </c>
      <c r="K22" s="58" t="s">
        <v>424</v>
      </c>
      <c r="L22" s="58" t="s">
        <v>425</v>
      </c>
      <c r="M22" s="58" t="s">
        <v>426</v>
      </c>
      <c r="N22" s="58" t="s">
        <v>427</v>
      </c>
      <c r="O22" s="59" t="s">
        <v>428</v>
      </c>
      <c r="P22" s="59" t="s">
        <v>429</v>
      </c>
      <c r="Q22" s="59" t="s">
        <v>430</v>
      </c>
    </row>
    <row r="23" customFormat="false" ht="15" hidden="false" customHeight="true" outlineLevel="0" collapsed="false">
      <c r="A23" s="60" t="s">
        <v>431</v>
      </c>
      <c r="B23" s="61" t="n">
        <v>0</v>
      </c>
      <c r="C23" s="61" t="n">
        <v>0</v>
      </c>
      <c r="D23" s="30" t="n">
        <f aca="false">B23+C23</f>
        <v>0</v>
      </c>
      <c r="E23" s="30" t="n">
        <f aca="false">MIN(D23,$B$16)</f>
        <v>0</v>
      </c>
      <c r="F23" s="30" t="n">
        <f aca="false">MIN(MAX(D23-E23,0),$B$17)</f>
        <v>0</v>
      </c>
      <c r="G23" s="30" t="n">
        <f aca="false">ROUND(MAX(D23-E23-F23,0)*(1-$B$18),0)</f>
        <v>0</v>
      </c>
      <c r="H23" s="53" t="n">
        <f aca="false">MAX(D23-E23-F23,0)-G23</f>
        <v>0</v>
      </c>
      <c r="I23" s="62" t="n">
        <f aca="false">DAILY_COSTS!C31</f>
        <v>43221.5</v>
      </c>
      <c r="J23" s="54" t="n">
        <f aca="false">E23*$B$7*$B$19*$B$6</f>
        <v>0</v>
      </c>
      <c r="K23" s="53" t="n">
        <f aca="false">F23*$B$7*$B$11*$B$6</f>
        <v>0</v>
      </c>
      <c r="L23" s="55" t="n">
        <f aca="false">G23*$B$7*$B$12*$B$6</f>
        <v>0</v>
      </c>
      <c r="M23" s="54" t="n">
        <f aca="false">H23*$B$8*$B$13*$B$6</f>
        <v>0</v>
      </c>
      <c r="N23" s="62" t="n">
        <f aca="false">DAILY_COSTS!G31</f>
        <v>0</v>
      </c>
      <c r="O23" s="21" t="n">
        <f aca="false">I23+J23+K23+L23+M23+N23</f>
        <v>43221.5</v>
      </c>
      <c r="P23" s="19" t="n">
        <f aca="false">O23/28*30.44</f>
        <v>46987.945</v>
      </c>
      <c r="Q23" s="21" t="n">
        <f aca="false">O23/28*365</f>
        <v>563423.125</v>
      </c>
    </row>
    <row r="24" customFormat="false" ht="15" hidden="false" customHeight="true" outlineLevel="0" collapsed="false">
      <c r="A24" s="63" t="s">
        <v>432</v>
      </c>
      <c r="B24" s="61" t="n">
        <v>1</v>
      </c>
      <c r="C24" s="61" t="n">
        <v>1</v>
      </c>
      <c r="D24" s="30" t="n">
        <f aca="false">B24+C24</f>
        <v>2</v>
      </c>
      <c r="E24" s="30" t="n">
        <f aca="false">MIN(D24,$B$16)</f>
        <v>2</v>
      </c>
      <c r="F24" s="30" t="n">
        <f aca="false">MIN(MAX(D24-E24,0),$B$17)</f>
        <v>0</v>
      </c>
      <c r="G24" s="30" t="n">
        <f aca="false">ROUND(MAX(D24-E24-F24,0)*(1-$B$18),0)</f>
        <v>0</v>
      </c>
      <c r="H24" s="53" t="n">
        <f aca="false">MAX(D24-E24-F24,0)-G24</f>
        <v>0</v>
      </c>
      <c r="I24" s="62" t="n">
        <f aca="false">DAILY_COSTS!C31</f>
        <v>43221.5</v>
      </c>
      <c r="J24" s="54" t="n">
        <f aca="false">E24*$B$7*$B$19*$B$6</f>
        <v>8232</v>
      </c>
      <c r="K24" s="53" t="n">
        <f aca="false">F24*$B$7*$B$11*$B$6</f>
        <v>0</v>
      </c>
      <c r="L24" s="55" t="n">
        <f aca="false">G24*$B$7*$B$12*$B$6</f>
        <v>0</v>
      </c>
      <c r="M24" s="54" t="n">
        <f aca="false">H24*$B$8*$B$13*$B$6</f>
        <v>0</v>
      </c>
      <c r="N24" s="62" t="n">
        <f aca="false">DAILY_COSTS!G31</f>
        <v>0</v>
      </c>
      <c r="O24" s="21" t="n">
        <f aca="false">I24+J24+K24+L24+M24+N24</f>
        <v>51453.5</v>
      </c>
      <c r="P24" s="19" t="n">
        <f aca="false">O24/28*30.44</f>
        <v>55937.305</v>
      </c>
      <c r="Q24" s="21" t="n">
        <f aca="false">O24/28*365</f>
        <v>670733.125</v>
      </c>
    </row>
    <row r="25" customFormat="false" ht="15" hidden="false" customHeight="true" outlineLevel="0" collapsed="false">
      <c r="A25" s="64" t="s">
        <v>433</v>
      </c>
      <c r="B25" s="61" t="n">
        <v>2</v>
      </c>
      <c r="C25" s="61" t="n">
        <v>2</v>
      </c>
      <c r="D25" s="30" t="n">
        <f aca="false">B25+C25</f>
        <v>4</v>
      </c>
      <c r="E25" s="30" t="n">
        <f aca="false">MIN(D25,$B$16)</f>
        <v>3</v>
      </c>
      <c r="F25" s="30" t="n">
        <f aca="false">MIN(MAX(D25-E25,0),$B$17)</f>
        <v>1</v>
      </c>
      <c r="G25" s="30" t="n">
        <f aca="false">ROUND(MAX(D25-E25-F25,0)*(1-$B$18),0)</f>
        <v>0</v>
      </c>
      <c r="H25" s="53" t="n">
        <f aca="false">MAX(D25-E25-F25,0)-G25</f>
        <v>0</v>
      </c>
      <c r="I25" s="62" t="n">
        <f aca="false">DAILY_COSTS!C31</f>
        <v>43221.5</v>
      </c>
      <c r="J25" s="54" t="n">
        <f aca="false">E25*$B$7*$B$19*$B$6</f>
        <v>12348</v>
      </c>
      <c r="K25" s="53" t="n">
        <f aca="false">F25*$B$7*$B$11*$B$6</f>
        <v>686</v>
      </c>
      <c r="L25" s="55" t="n">
        <f aca="false">G25*$B$7*$B$12*$B$6</f>
        <v>0</v>
      </c>
      <c r="M25" s="54" t="n">
        <f aca="false">H25*$B$8*$B$13*$B$6</f>
        <v>0</v>
      </c>
      <c r="N25" s="62" t="n">
        <f aca="false">DAILY_COSTS!G31</f>
        <v>0</v>
      </c>
      <c r="O25" s="21" t="n">
        <f aca="false">I25+J25+K25+L25+M25+N25</f>
        <v>56255.5</v>
      </c>
      <c r="P25" s="19" t="n">
        <f aca="false">O25/28*30.44</f>
        <v>61157.765</v>
      </c>
      <c r="Q25" s="21" t="n">
        <f aca="false">O25/28*365</f>
        <v>733330.625</v>
      </c>
    </row>
    <row r="26" customFormat="false" ht="15" hidden="false" customHeight="true" outlineLevel="0" collapsed="false">
      <c r="A26" s="1" t="s">
        <v>434</v>
      </c>
      <c r="B26" s="11" t="n">
        <v>3</v>
      </c>
      <c r="C26" s="11" t="n">
        <v>2</v>
      </c>
      <c r="D26" s="1" t="n">
        <f aca="false">B26+C26</f>
        <v>5</v>
      </c>
      <c r="E26" s="1" t="n">
        <f aca="false">MIN(D26,$B$16)</f>
        <v>3</v>
      </c>
      <c r="F26" s="1" t="n">
        <f aca="false">MIN(MAX(D26-E26,0),$B$17)</f>
        <v>2</v>
      </c>
      <c r="G26" s="1" t="n">
        <f aca="false">ROUND(MAX(D26-E26-F26,0)*(1-$B$18),0)</f>
        <v>0</v>
      </c>
      <c r="H26" s="1" t="n">
        <f aca="false">MAX(D26-E26-F26,0)-G26</f>
        <v>0</v>
      </c>
      <c r="I26" s="47" t="n">
        <f aca="false">DAILY_COSTS!C31</f>
        <v>43221.5</v>
      </c>
      <c r="J26" s="1" t="n">
        <f aca="false">E26*$B$7*$B$19*$B$6</f>
        <v>12348</v>
      </c>
      <c r="K26" s="1" t="n">
        <f aca="false">F26*$B$7*$B$11*$B$6</f>
        <v>1372</v>
      </c>
      <c r="L26" s="1" t="n">
        <f aca="false">G26*$B$7*$B$12*$B$6</f>
        <v>0</v>
      </c>
      <c r="M26" s="1" t="n">
        <f aca="false">H26*$B$8*$B$13*$B$6</f>
        <v>0</v>
      </c>
      <c r="N26" s="47" t="n">
        <f aca="false">DAILY_COSTS!G31</f>
        <v>0</v>
      </c>
      <c r="O26" s="21" t="n">
        <f aca="false">I26+J26+K26+L26+M26+N26</f>
        <v>56941.5</v>
      </c>
      <c r="P26" s="19" t="n">
        <f aca="false">O26/28*30.44</f>
        <v>61903.545</v>
      </c>
      <c r="Q26" s="21" t="n">
        <f aca="false">O26/28*365</f>
        <v>742273.125</v>
      </c>
    </row>
    <row r="27" customFormat="false" ht="15" hidden="false" customHeight="true" outlineLevel="0" collapsed="false">
      <c r="A27" s="1" t="s">
        <v>435</v>
      </c>
      <c r="B27" s="11" t="n">
        <v>4</v>
      </c>
      <c r="C27" s="11" t="n">
        <v>2</v>
      </c>
      <c r="D27" s="1" t="n">
        <f aca="false">B27+C27</f>
        <v>6</v>
      </c>
      <c r="E27" s="1" t="n">
        <f aca="false">MIN(D27,$B$16)</f>
        <v>3</v>
      </c>
      <c r="F27" s="1" t="n">
        <f aca="false">MIN(MAX(D27-E27,0),$B$17)</f>
        <v>3</v>
      </c>
      <c r="G27" s="1" t="n">
        <f aca="false">ROUND(MAX(D27-E27-F27,0)*(1-$B$18),0)</f>
        <v>0</v>
      </c>
      <c r="H27" s="1" t="n">
        <f aca="false">MAX(D27-E27-F27,0)-G27</f>
        <v>0</v>
      </c>
      <c r="I27" s="47" t="n">
        <f aca="false">DAILY_COSTS!C31</f>
        <v>43221.5</v>
      </c>
      <c r="J27" s="1" t="n">
        <f aca="false">E27*$B$7*$B$19*$B$6</f>
        <v>12348</v>
      </c>
      <c r="K27" s="1" t="n">
        <f aca="false">F27*$B$7*$B$11*$B$6</f>
        <v>2058</v>
      </c>
      <c r="L27" s="1" t="n">
        <f aca="false">G27*$B$7*$B$12*$B$6</f>
        <v>0</v>
      </c>
      <c r="M27" s="1" t="n">
        <f aca="false">H27*$B$8*$B$13*$B$6</f>
        <v>0</v>
      </c>
      <c r="N27" s="47" t="n">
        <f aca="false">DAILY_COSTS!G31</f>
        <v>0</v>
      </c>
      <c r="O27" s="21" t="n">
        <f aca="false">I27+J27+K27+L27+M27+N27</f>
        <v>57627.5</v>
      </c>
      <c r="P27" s="19" t="n">
        <f aca="false">O27/28*30.44</f>
        <v>62649.325</v>
      </c>
      <c r="Q27" s="21" t="n">
        <f aca="false">O27/28*365</f>
        <v>751215.625</v>
      </c>
    </row>
    <row r="28" customFormat="false" ht="15" hidden="false" customHeight="true" outlineLevel="0" collapsed="false">
      <c r="A28" s="45" t="s">
        <v>436</v>
      </c>
      <c r="B28" s="65" t="n">
        <v>6</v>
      </c>
      <c r="C28" s="65" t="n">
        <v>2</v>
      </c>
      <c r="D28" s="66" t="n">
        <f aca="false">B28+C28</f>
        <v>8</v>
      </c>
      <c r="E28" s="66" t="n">
        <f aca="false">MIN(D28,$B$16)</f>
        <v>3</v>
      </c>
      <c r="F28" s="1" t="n">
        <f aca="false">MIN(MAX(D28-E28,0),$B$17)</f>
        <v>4</v>
      </c>
      <c r="G28" s="1" t="n">
        <f aca="false">ROUND(MAX(D28-E28-F28,0)*(1-$B$18),0)</f>
        <v>1</v>
      </c>
      <c r="H28" s="1" t="n">
        <f aca="false">MAX(D28-E28-F28,0)-G28</f>
        <v>0</v>
      </c>
      <c r="I28" s="47" t="n">
        <f aca="false">DAILY_COSTS!C31</f>
        <v>43221.5</v>
      </c>
      <c r="J28" s="1" t="n">
        <f aca="false">E28*$B$7*$B$19*$B$6</f>
        <v>12348</v>
      </c>
      <c r="K28" s="1" t="n">
        <f aca="false">F28*$B$7*$B$11*$B$6</f>
        <v>2744</v>
      </c>
      <c r="L28" s="1" t="n">
        <f aca="false">G28*$B$7*$B$12*$B$6</f>
        <v>7546</v>
      </c>
      <c r="M28" s="1" t="n">
        <f aca="false">H28*$B$8*$B$13*$B$6</f>
        <v>0</v>
      </c>
      <c r="N28" s="47" t="n">
        <f aca="false">DAILY_COSTS!G31</f>
        <v>0</v>
      </c>
      <c r="O28" s="21" t="n">
        <f aca="false">I28+J28+K28+L28+M28+N28</f>
        <v>65859.5</v>
      </c>
      <c r="P28" s="19" t="n">
        <f aca="false">O28/28*30.44</f>
        <v>71598.685</v>
      </c>
      <c r="Q28" s="21" t="n">
        <f aca="false">O28/28*365</f>
        <v>858525.625</v>
      </c>
    </row>
    <row r="29" customFormat="false" ht="15" hidden="false" customHeight="true" outlineLevel="0" collapsed="false">
      <c r="A29" s="67"/>
      <c r="B29" s="19"/>
      <c r="D29" s="19"/>
    </row>
    <row r="30" customFormat="false" ht="15" hidden="false" customHeight="true" outlineLevel="0" collapsed="false">
      <c r="A30" s="68" t="s">
        <v>437</v>
      </c>
      <c r="B30" s="19"/>
      <c r="D30" s="19"/>
    </row>
    <row r="31" customFormat="false" ht="15" hidden="false" customHeight="true" outlineLevel="0" collapsed="false">
      <c r="A31" s="1" t="s">
        <v>438</v>
      </c>
      <c r="B31" s="1" t="n">
        <f aca="false">I24+D24*(1-$B$18)*$B$7*$B$12*$B$6+D24*$B$18*$B$8*$B$13*$B$6</f>
        <v>59548.3</v>
      </c>
      <c r="C31" s="1" t="s">
        <v>439</v>
      </c>
      <c r="D31" s="19" t="n">
        <f aca="false">B31/28*365</f>
        <v>776254.625</v>
      </c>
      <c r="E31" s="1" t="s">
        <v>440</v>
      </c>
    </row>
    <row r="32" customFormat="false" ht="19.5" hidden="false" customHeight="true" outlineLevel="0" collapsed="false">
      <c r="A32" s="69" t="s">
        <v>441</v>
      </c>
      <c r="B32" s="70" t="n">
        <f aca="false">O24</f>
        <v>51453.5</v>
      </c>
      <c r="C32" s="71" t="s">
        <v>439</v>
      </c>
      <c r="D32" s="19" t="n">
        <f aca="false">B32/28*365</f>
        <v>670733.125</v>
      </c>
    </row>
    <row r="33" customFormat="false" ht="15" hidden="false" customHeight="true" outlineLevel="0" collapsed="false">
      <c r="B33" s="72"/>
    </row>
    <row r="34" customFormat="false" ht="15" hidden="false" customHeight="true" outlineLevel="0" collapsed="false">
      <c r="A34" s="73" t="s">
        <v>442</v>
      </c>
      <c r="B34" s="74" t="n">
        <f aca="false">D31-D32</f>
        <v>105521.5</v>
      </c>
    </row>
    <row r="35" customFormat="false" ht="15" hidden="false" customHeight="true" outlineLevel="0" collapsed="false">
      <c r="A35" s="1" t="s">
        <v>443</v>
      </c>
      <c r="B35" s="19" t="n">
        <f aca="false">B34*10</f>
        <v>1055215</v>
      </c>
    </row>
    <row r="36" customFormat="false" ht="15" hidden="false" customHeight="true" outlineLevel="0" collapsed="false">
      <c r="A36" s="1" t="s">
        <v>444</v>
      </c>
      <c r="B36" s="19" t="n">
        <f aca="false">B34*30</f>
        <v>3165645</v>
      </c>
    </row>
    <row r="40" customFormat="false" ht="15" hidden="false" customHeight="true" outlineLevel="0" collapsed="false">
      <c r="A40" s="75" t="s">
        <v>445</v>
      </c>
    </row>
    <row r="42" customFormat="false" ht="15" hidden="false" customHeight="true" outlineLevel="0" collapsed="false">
      <c r="A42" s="7" t="s">
        <v>83</v>
      </c>
      <c r="B42" s="7" t="s">
        <v>84</v>
      </c>
      <c r="C42" s="7" t="s">
        <v>446</v>
      </c>
      <c r="D42" s="7" t="s">
        <v>86</v>
      </c>
      <c r="E42" s="7" t="s">
        <v>447</v>
      </c>
      <c r="F42" s="7" t="s">
        <v>88</v>
      </c>
      <c r="G42" s="7" t="s">
        <v>89</v>
      </c>
    </row>
    <row r="43" customFormat="false" ht="15" hidden="false" customHeight="true" outlineLevel="0" collapsed="false">
      <c r="A43" s="1" t="s">
        <v>448</v>
      </c>
      <c r="B43" s="11" t="n">
        <v>3</v>
      </c>
      <c r="C43" s="1" t="n">
        <f aca="false">B43*7</f>
        <v>21</v>
      </c>
      <c r="D43" s="1" t="n">
        <f aca="false">MIN(C43,15)</f>
        <v>15</v>
      </c>
      <c r="E43" s="1" t="n">
        <f aca="false">MIN(MAX(C43-D43,0),CONFIG!$B$59)</f>
        <v>6</v>
      </c>
      <c r="F43" s="1" t="n">
        <f aca="false">MAX(C43-D43-E43,0)</f>
        <v>0</v>
      </c>
      <c r="G43" s="19" t="n">
        <f aca="false">(F43*0.7*12.25*CONFIG!$B$29+F43*0.3*12.25*CONFIG!$B$30)</f>
        <v>0</v>
      </c>
    </row>
    <row r="44" customFormat="false" ht="15" hidden="false" customHeight="true" outlineLevel="0" collapsed="false">
      <c r="A44" s="1" t="s">
        <v>449</v>
      </c>
      <c r="B44" s="11" t="n">
        <v>5</v>
      </c>
      <c r="C44" s="1" t="n">
        <f aca="false">B44*7</f>
        <v>35</v>
      </c>
      <c r="D44" s="1" t="n">
        <f aca="false">MIN(C44,15)</f>
        <v>15</v>
      </c>
      <c r="E44" s="1" t="n">
        <f aca="false">MIN(MAX(C44-D44,0),CONFIG!$B$59)</f>
        <v>8</v>
      </c>
      <c r="F44" s="1" t="n">
        <f aca="false">MAX(C44-D44-E44,0)</f>
        <v>12</v>
      </c>
      <c r="G44" s="19" t="n">
        <f aca="false">(F44*0.7*12.25*CONFIG!$B$29+F44*0.3*12.25*CONFIG!$B$30)</f>
        <v>3498.6</v>
      </c>
    </row>
    <row r="45" customFormat="false" ht="15" hidden="false" customHeight="true" outlineLevel="0" collapsed="false">
      <c r="A45" s="1" t="s">
        <v>450</v>
      </c>
      <c r="B45" s="11" t="n">
        <v>7</v>
      </c>
      <c r="C45" s="1" t="n">
        <f aca="false">B45*7</f>
        <v>49</v>
      </c>
      <c r="D45" s="1" t="n">
        <f aca="false">MIN(C45,15)</f>
        <v>15</v>
      </c>
      <c r="E45" s="1" t="n">
        <f aca="false">MIN(MAX(C45-D45,0),CONFIG!$B$59)</f>
        <v>8</v>
      </c>
      <c r="F45" s="1" t="n">
        <f aca="false">MAX(C45-D45-E45,0)</f>
        <v>26</v>
      </c>
      <c r="G45" s="19" t="n">
        <f aca="false">(F45*0.7*12.25*CONFIG!$B$29+F45*0.3*12.25*CONFIG!$B$30)</f>
        <v>7580.3</v>
      </c>
    </row>
    <row r="46" customFormat="false" ht="15" hidden="false" customHeight="true" outlineLevel="0" collapsed="false">
      <c r="A46" s="1" t="s">
        <v>451</v>
      </c>
      <c r="B46" s="11" t="n">
        <v>9</v>
      </c>
      <c r="C46" s="1" t="n">
        <f aca="false">B46*7</f>
        <v>63</v>
      </c>
      <c r="D46" s="1" t="n">
        <f aca="false">MIN(C46,15)</f>
        <v>15</v>
      </c>
      <c r="E46" s="1" t="n">
        <f aca="false">MIN(MAX(C46-D46,0),CONFIG!$B$59)</f>
        <v>8</v>
      </c>
      <c r="F46" s="1" t="n">
        <f aca="false">MAX(C46-D46-E46,0)</f>
        <v>40</v>
      </c>
      <c r="G46" s="19" t="n">
        <f aca="false">(F46*0.7*12.25*CONFIG!$B$29+F46*0.3*12.25*CONFIG!$B$30)</f>
        <v>11662</v>
      </c>
    </row>
    <row r="47" customFormat="false" ht="15" hidden="false" customHeight="true" outlineLevel="0" collapsed="false">
      <c r="A47" s="1" t="s">
        <v>452</v>
      </c>
      <c r="B47" s="11" t="n">
        <v>9</v>
      </c>
      <c r="C47" s="1" t="n">
        <f aca="false">B47*7</f>
        <v>63</v>
      </c>
      <c r="D47" s="1" t="n">
        <f aca="false">MIN(C47,15)</f>
        <v>15</v>
      </c>
      <c r="E47" s="1" t="n">
        <f aca="false">MIN(MAX(C47-D47,0),CONFIG!$B$59)</f>
        <v>8</v>
      </c>
      <c r="F47" s="1" t="n">
        <f aca="false">MAX(C47-D47-E47,0)</f>
        <v>40</v>
      </c>
      <c r="G47" s="19" t="n">
        <f aca="false">(F47*0.7*12.25*CONFIG!$B$29+F47*0.3*12.25*CONFIG!$B$30)</f>
        <v>11662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8"/>
  </cols>
  <sheetData>
    <row r="1" customFormat="false" ht="17.25" hidden="false" customHeight="true" outlineLevel="0" collapsed="false">
      <c r="A1" s="76" t="s">
        <v>453</v>
      </c>
    </row>
    <row r="2" customFormat="false" ht="15" hidden="false" customHeight="true" outlineLevel="0" collapsed="false">
      <c r="A2" s="43" t="s">
        <v>454</v>
      </c>
    </row>
    <row r="4" customFormat="false" ht="15" hidden="false" customHeight="true" outlineLevel="0" collapsed="false">
      <c r="A4" s="77" t="s">
        <v>455</v>
      </c>
      <c r="B4" s="77"/>
      <c r="C4" s="77"/>
      <c r="D4" s="77"/>
    </row>
    <row r="5" customFormat="false" ht="15" hidden="false" customHeight="true" outlineLevel="0" collapsed="false">
      <c r="A5" s="46" t="s">
        <v>456</v>
      </c>
      <c r="B5" s="52" t="n">
        <v>40</v>
      </c>
      <c r="D5" s="78" t="s">
        <v>457</v>
      </c>
    </row>
    <row r="6" customFormat="false" ht="15" hidden="false" customHeight="true" outlineLevel="0" collapsed="false">
      <c r="A6" s="46" t="s">
        <v>458</v>
      </c>
      <c r="B6" s="79" t="n">
        <v>0.85</v>
      </c>
      <c r="C6" s="1" t="s">
        <v>206</v>
      </c>
      <c r="D6" s="78"/>
    </row>
    <row r="7" customFormat="false" ht="15" hidden="false" customHeight="true" outlineLevel="0" collapsed="false">
      <c r="A7" s="46" t="s">
        <v>459</v>
      </c>
      <c r="B7" s="79" t="n">
        <v>0.15</v>
      </c>
      <c r="C7" s="1" t="s">
        <v>206</v>
      </c>
      <c r="D7" s="78"/>
    </row>
    <row r="8" customFormat="false" ht="15" hidden="false" customHeight="true" outlineLevel="0" collapsed="false">
      <c r="A8" s="46" t="s">
        <v>460</v>
      </c>
      <c r="B8" s="80" t="n">
        <v>750</v>
      </c>
      <c r="C8" s="1" t="s">
        <v>461</v>
      </c>
      <c r="D8" s="78" t="s">
        <v>462</v>
      </c>
    </row>
    <row r="9" customFormat="false" ht="15" hidden="false" customHeight="true" outlineLevel="0" collapsed="false">
      <c r="A9" s="46" t="s">
        <v>463</v>
      </c>
      <c r="B9" s="80" t="n">
        <v>1100</v>
      </c>
      <c r="C9" s="1" t="s">
        <v>461</v>
      </c>
      <c r="D9" s="78" t="s">
        <v>464</v>
      </c>
    </row>
    <row r="10" customFormat="false" ht="15" hidden="false" customHeight="true" outlineLevel="0" collapsed="false">
      <c r="A10" s="46" t="s">
        <v>465</v>
      </c>
      <c r="B10" s="79" t="n">
        <v>0.25</v>
      </c>
      <c r="C10" s="1" t="s">
        <v>206</v>
      </c>
      <c r="D10" s="78" t="s">
        <v>466</v>
      </c>
    </row>
    <row r="11" customFormat="false" ht="15" hidden="false" customHeight="true" outlineLevel="0" collapsed="false">
      <c r="A11" s="46" t="s">
        <v>467</v>
      </c>
      <c r="B11" s="52" t="n">
        <v>2.5</v>
      </c>
      <c r="D11" s="78" t="s">
        <v>468</v>
      </c>
    </row>
    <row r="12" customFormat="false" ht="15" hidden="false" customHeight="true" outlineLevel="0" collapsed="false">
      <c r="A12" s="46" t="s">
        <v>469</v>
      </c>
      <c r="B12" s="80" t="n">
        <v>11.86</v>
      </c>
      <c r="C12" s="1" t="s">
        <v>400</v>
      </c>
      <c r="D12" s="78"/>
    </row>
    <row r="13" customFormat="false" ht="15" hidden="false" customHeight="true" outlineLevel="0" collapsed="false">
      <c r="A13" s="46" t="s">
        <v>177</v>
      </c>
      <c r="B13" s="81" t="n">
        <f aca="false">CONFIG!B29</f>
        <v>22</v>
      </c>
      <c r="C13" s="1" t="s">
        <v>400</v>
      </c>
      <c r="D13" s="78"/>
    </row>
    <row r="14" customFormat="false" ht="15" hidden="false" customHeight="true" outlineLevel="0" collapsed="false">
      <c r="A14" s="46" t="s">
        <v>470</v>
      </c>
      <c r="B14" s="52" t="n">
        <f aca="false">CONFIG!B11</f>
        <v>12.25</v>
      </c>
      <c r="C14" s="1" t="s">
        <v>396</v>
      </c>
      <c r="D14" s="78"/>
    </row>
    <row r="15" customFormat="false" ht="15" hidden="false" customHeight="true" outlineLevel="0" collapsed="false">
      <c r="A15" s="1" t="s">
        <v>179</v>
      </c>
      <c r="B15" s="47" t="n">
        <f aca="false">CONFIG!B30</f>
        <v>28</v>
      </c>
      <c r="C15" s="1" t="s">
        <v>400</v>
      </c>
    </row>
    <row r="16" customFormat="false" ht="15" hidden="false" customHeight="true" outlineLevel="0" collapsed="false">
      <c r="A16" s="25" t="s">
        <v>471</v>
      </c>
      <c r="B16" s="47" t="n">
        <f aca="false">CONFIG!B12</f>
        <v>12.25</v>
      </c>
      <c r="C16" s="1" t="s">
        <v>396</v>
      </c>
    </row>
    <row r="17" customFormat="false" ht="15" hidden="false" customHeight="true" outlineLevel="0" collapsed="false">
      <c r="A17" s="46" t="s">
        <v>472</v>
      </c>
      <c r="B17" s="82" t="n">
        <f aca="false">B5*B6</f>
        <v>34</v>
      </c>
    </row>
    <row r="18" customFormat="false" ht="15" hidden="false" customHeight="true" outlineLevel="0" collapsed="false">
      <c r="A18" s="46" t="s">
        <v>473</v>
      </c>
      <c r="B18" s="82" t="n">
        <f aca="false">B17*(1-B7)</f>
        <v>28.9</v>
      </c>
    </row>
    <row r="19" customFormat="false" ht="15" hidden="false" customHeight="true" outlineLevel="0" collapsed="false">
      <c r="A19" s="46" t="s">
        <v>474</v>
      </c>
      <c r="B19" s="82" t="n">
        <f aca="false">B17*B7</f>
        <v>5.1</v>
      </c>
    </row>
    <row r="20" customFormat="false" ht="15" hidden="false" customHeight="true" outlineLevel="0" collapsed="false">
      <c r="A20" s="46" t="s">
        <v>475</v>
      </c>
      <c r="B20" s="83" t="n">
        <f aca="false">(B18*B8+B19*B9)*52</f>
        <v>1418820</v>
      </c>
    </row>
    <row r="21" customFormat="false" ht="15" hidden="false" customHeight="true" outlineLevel="0" collapsed="false">
      <c r="A21" s="46" t="s">
        <v>476</v>
      </c>
      <c r="B21" s="83" t="n">
        <f aca="false">B11*B10*((1-CONFIG!B52)*B13*B14+CONFIG!B52*B15*B16)*365</f>
        <v>66509.84375</v>
      </c>
    </row>
    <row r="22" customFormat="false" ht="15" hidden="false" customHeight="true" outlineLevel="0" collapsed="false">
      <c r="A22" s="46" t="s">
        <v>477</v>
      </c>
      <c r="B22" s="62" t="n">
        <f aca="false">DAILY_COSTS!C31/28*365</f>
        <v>563423.125</v>
      </c>
    </row>
    <row r="23" customFormat="false" ht="15" hidden="false" customHeight="true" outlineLevel="0" collapsed="false">
      <c r="A23" s="46" t="s">
        <v>478</v>
      </c>
      <c r="B23" s="83" t="n">
        <f aca="false">B21+B22</f>
        <v>629932.96875</v>
      </c>
    </row>
    <row r="24" customFormat="false" ht="15" hidden="false" customHeight="true" outlineLevel="0" collapsed="false">
      <c r="A24" s="46" t="s">
        <v>479</v>
      </c>
      <c r="B24" s="83" t="n">
        <f aca="false">B20*0.18</f>
        <v>255387.6</v>
      </c>
    </row>
    <row r="25" customFormat="false" ht="15" hidden="false" customHeight="true" outlineLevel="0" collapsed="false">
      <c r="A25" s="46" t="s">
        <v>480</v>
      </c>
      <c r="B25" s="83" t="n">
        <f aca="false">B24/B20</f>
        <v>0.18</v>
      </c>
    </row>
    <row r="28" customFormat="false" ht="15" hidden="false" customHeight="true" outlineLevel="0" collapsed="false">
      <c r="A28" s="84" t="s">
        <v>481</v>
      </c>
      <c r="B28" s="84"/>
      <c r="C28" s="84"/>
      <c r="D28" s="84"/>
    </row>
    <row r="29" customFormat="false" ht="15" hidden="false" customHeight="true" outlineLevel="0" collapsed="false">
      <c r="A29" s="46" t="s">
        <v>456</v>
      </c>
      <c r="B29" s="85" t="n">
        <f aca="false">B5</f>
        <v>40</v>
      </c>
      <c r="D29" s="78" t="s">
        <v>482</v>
      </c>
    </row>
    <row r="30" customFormat="false" ht="15" hidden="false" customHeight="true" outlineLevel="0" collapsed="false">
      <c r="A30" s="46" t="s">
        <v>458</v>
      </c>
      <c r="B30" s="79" t="n">
        <v>0.92</v>
      </c>
      <c r="C30" s="1" t="s">
        <v>206</v>
      </c>
      <c r="D30" s="78" t="s">
        <v>483</v>
      </c>
    </row>
    <row r="31" customFormat="false" ht="15" hidden="false" customHeight="true" outlineLevel="0" collapsed="false">
      <c r="A31" s="46" t="s">
        <v>459</v>
      </c>
      <c r="B31" s="79" t="n">
        <v>0.35</v>
      </c>
      <c r="C31" s="1" t="s">
        <v>206</v>
      </c>
      <c r="D31" s="78" t="s">
        <v>484</v>
      </c>
    </row>
    <row r="32" customFormat="false" ht="15" hidden="false" customHeight="true" outlineLevel="0" collapsed="false">
      <c r="A32" s="46" t="s">
        <v>460</v>
      </c>
      <c r="B32" s="86" t="n">
        <f aca="false">B8</f>
        <v>750</v>
      </c>
      <c r="C32" s="1" t="s">
        <v>461</v>
      </c>
      <c r="D32" s="78" t="s">
        <v>485</v>
      </c>
    </row>
    <row r="33" customFormat="false" ht="15" hidden="false" customHeight="true" outlineLevel="0" collapsed="false">
      <c r="A33" s="46" t="s">
        <v>463</v>
      </c>
      <c r="B33" s="80" t="n">
        <v>1200</v>
      </c>
      <c r="C33" s="1" t="s">
        <v>461</v>
      </c>
      <c r="D33" s="78" t="s">
        <v>486</v>
      </c>
    </row>
    <row r="34" customFormat="false" ht="15" hidden="false" customHeight="true" outlineLevel="0" collapsed="false">
      <c r="A34" s="46" t="s">
        <v>465</v>
      </c>
      <c r="B34" s="79" t="n">
        <v>0.05</v>
      </c>
      <c r="C34" s="1" t="s">
        <v>206</v>
      </c>
      <c r="D34" s="78" t="s">
        <v>487</v>
      </c>
    </row>
    <row r="35" customFormat="false" ht="15" hidden="false" customHeight="true" outlineLevel="0" collapsed="false">
      <c r="A35" s="46" t="s">
        <v>467</v>
      </c>
      <c r="B35" s="52" t="n">
        <v>1.5</v>
      </c>
      <c r="D35" s="78" t="s">
        <v>488</v>
      </c>
    </row>
    <row r="36" customFormat="false" ht="15" hidden="false" customHeight="true" outlineLevel="0" collapsed="false">
      <c r="A36" s="46" t="s">
        <v>469</v>
      </c>
      <c r="B36" s="80" t="n">
        <v>12.2</v>
      </c>
      <c r="C36" s="1" t="s">
        <v>400</v>
      </c>
      <c r="D36" s="78" t="s">
        <v>489</v>
      </c>
    </row>
    <row r="37" customFormat="false" ht="15" hidden="false" customHeight="true" outlineLevel="0" collapsed="false">
      <c r="A37" s="46" t="s">
        <v>177</v>
      </c>
      <c r="B37" s="86" t="n">
        <f aca="false">B13</f>
        <v>22</v>
      </c>
      <c r="C37" s="1" t="s">
        <v>400</v>
      </c>
      <c r="D37" s="78" t="s">
        <v>490</v>
      </c>
    </row>
    <row r="38" customFormat="false" ht="15" hidden="false" customHeight="true" outlineLevel="0" collapsed="false">
      <c r="A38" s="46" t="s">
        <v>470</v>
      </c>
      <c r="B38" s="85" t="n">
        <f aca="false">B14</f>
        <v>12.25</v>
      </c>
      <c r="C38" s="1" t="s">
        <v>396</v>
      </c>
      <c r="D38" s="78"/>
    </row>
    <row r="39" customFormat="false" ht="15" hidden="false" customHeight="true" outlineLevel="0" collapsed="false">
      <c r="A39" s="1" t="s">
        <v>179</v>
      </c>
      <c r="B39" s="1" t="n">
        <f aca="false">B15</f>
        <v>28</v>
      </c>
      <c r="C39" s="1" t="s">
        <v>400</v>
      </c>
    </row>
    <row r="40" customFormat="false" ht="15" hidden="false" customHeight="true" outlineLevel="0" collapsed="false">
      <c r="A40" s="25" t="s">
        <v>471</v>
      </c>
      <c r="B40" s="1" t="n">
        <f aca="false">B16</f>
        <v>12.25</v>
      </c>
      <c r="C40" s="1" t="s">
        <v>396</v>
      </c>
    </row>
    <row r="41" customFormat="false" ht="15" hidden="false" customHeight="true" outlineLevel="0" collapsed="false">
      <c r="A41" s="46" t="s">
        <v>472</v>
      </c>
      <c r="B41" s="82" t="n">
        <f aca="false">B29*B30</f>
        <v>36.8</v>
      </c>
    </row>
    <row r="42" customFormat="false" ht="15" hidden="false" customHeight="true" outlineLevel="0" collapsed="false">
      <c r="A42" s="8" t="s">
        <v>491</v>
      </c>
      <c r="B42" s="82" t="n">
        <f aca="false">B41*(1-B31)</f>
        <v>23.92</v>
      </c>
    </row>
    <row r="43" customFormat="false" ht="15" hidden="false" customHeight="true" outlineLevel="0" collapsed="false">
      <c r="A43" s="46" t="s">
        <v>472</v>
      </c>
      <c r="B43" s="82" t="n">
        <f aca="false">B29*B30</f>
        <v>36.8</v>
      </c>
    </row>
    <row r="44" customFormat="false" ht="15" hidden="false" customHeight="true" outlineLevel="0" collapsed="false">
      <c r="A44" s="46" t="s">
        <v>473</v>
      </c>
      <c r="B44" s="83" t="n">
        <f aca="false">B43*(1-B31)</f>
        <v>23.92</v>
      </c>
    </row>
    <row r="45" customFormat="false" ht="15" hidden="false" customHeight="true" outlineLevel="0" collapsed="false">
      <c r="A45" s="46" t="s">
        <v>474</v>
      </c>
      <c r="B45" s="83" t="n">
        <f aca="false">B43*B31</f>
        <v>12.88</v>
      </c>
    </row>
    <row r="46" customFormat="false" ht="15" hidden="false" customHeight="true" outlineLevel="0" collapsed="false">
      <c r="A46" s="46" t="s">
        <v>475</v>
      </c>
      <c r="B46" s="83" t="n">
        <f aca="false">(B44*B32+B45*B33)*52</f>
        <v>1736592</v>
      </c>
    </row>
    <row r="47" customFormat="false" ht="15" hidden="false" customHeight="true" outlineLevel="0" collapsed="false">
      <c r="A47" s="46" t="s">
        <v>476</v>
      </c>
      <c r="B47" s="83" t="n">
        <f aca="false">B35*B34*((1-CONFIG!B52)*B37*B38+CONFIG!B52*B39*B40)*365</f>
        <v>7981.18125</v>
      </c>
    </row>
    <row r="48" customFormat="false" ht="15" hidden="false" customHeight="true" outlineLevel="0" collapsed="false">
      <c r="A48" s="46" t="s">
        <v>477</v>
      </c>
      <c r="B48" s="83" t="n">
        <f aca="false">B22*(1+(B36-B12)/B12)</f>
        <v>579575.221332209</v>
      </c>
    </row>
    <row r="49" customFormat="false" ht="15" hidden="false" customHeight="true" outlineLevel="0" collapsed="false">
      <c r="A49" s="46" t="s">
        <v>478</v>
      </c>
      <c r="B49" s="83" t="n">
        <f aca="false">B47+B48</f>
        <v>587556.402582209</v>
      </c>
    </row>
    <row r="50" customFormat="false" ht="15" hidden="false" customHeight="true" outlineLevel="0" collapsed="false">
      <c r="A50" s="1" t="s">
        <v>479</v>
      </c>
      <c r="B50" s="1" t="n">
        <f aca="false">B46*0.28</f>
        <v>486245.76</v>
      </c>
    </row>
    <row r="51" customFormat="false" ht="15" hidden="false" customHeight="true" outlineLevel="0" collapsed="false">
      <c r="A51" s="1" t="s">
        <v>480</v>
      </c>
      <c r="B51" s="87" t="n">
        <f aca="false">B50/B46</f>
        <v>0.28</v>
      </c>
    </row>
    <row r="52" customFormat="false" ht="15" hidden="false" customHeight="true" outlineLevel="0" collapsed="false">
      <c r="A52" s="45" t="s">
        <v>492</v>
      </c>
      <c r="B52" s="45"/>
      <c r="C52" s="45"/>
    </row>
    <row r="53" customFormat="false" ht="17.25" hidden="false" customHeight="true" outlineLevel="0" collapsed="false">
      <c r="A53" s="25" t="s">
        <v>493</v>
      </c>
      <c r="B53" s="88" t="n">
        <f aca="false">B44-B20</f>
        <v>-1418796.08</v>
      </c>
    </row>
    <row r="54" customFormat="false" ht="17.25" hidden="false" customHeight="true" outlineLevel="0" collapsed="false">
      <c r="A54" s="10" t="s">
        <v>492</v>
      </c>
      <c r="B54" s="88" t="n">
        <f aca="false">B48-B24</f>
        <v>324187.621332209</v>
      </c>
    </row>
    <row r="55" customFormat="false" ht="17.25" hidden="false" customHeight="true" outlineLevel="0" collapsed="false">
      <c r="A55" s="25" t="s">
        <v>493</v>
      </c>
      <c r="B55" s="88" t="n">
        <f aca="false">B46-B20</f>
        <v>317772</v>
      </c>
    </row>
    <row r="56" customFormat="false" ht="17.25" hidden="false" customHeight="true" outlineLevel="0" collapsed="false">
      <c r="A56" s="25" t="s">
        <v>494</v>
      </c>
      <c r="B56" s="89" t="n">
        <f aca="false">B50-B24</f>
        <v>230858.16</v>
      </c>
    </row>
    <row r="57" customFormat="false" ht="17.25" hidden="false" customHeight="true" outlineLevel="0" collapsed="false">
      <c r="A57" s="25" t="s">
        <v>495</v>
      </c>
      <c r="B57" s="89" t="n">
        <f aca="false">B21-B47</f>
        <v>58528.6625</v>
      </c>
    </row>
    <row r="58" customFormat="false" ht="17.25" hidden="false" customHeight="true" outlineLevel="0" collapsed="false">
      <c r="A58" s="25" t="s">
        <v>496</v>
      </c>
      <c r="B58" s="89" t="n">
        <f aca="false">B10-B34</f>
        <v>0.2</v>
      </c>
    </row>
    <row r="60" customFormat="false" ht="15" hidden="false" customHeight="true" outlineLevel="0" collapsed="false">
      <c r="A60" s="10" t="s">
        <v>497</v>
      </c>
    </row>
    <row r="61" customFormat="false" ht="15" hidden="false" customHeight="true" outlineLevel="0" collapsed="false">
      <c r="A61" s="90" t="s">
        <v>498</v>
      </c>
      <c r="B61" s="91" t="n">
        <v>6</v>
      </c>
      <c r="C61" s="71" t="s">
        <v>499</v>
      </c>
    </row>
    <row r="62" customFormat="false" ht="15" hidden="false" customHeight="true" outlineLevel="0" collapsed="false">
      <c r="A62" s="1" t="s">
        <v>500</v>
      </c>
      <c r="B62" s="92" t="n">
        <f aca="false">B24*B61</f>
        <v>1532325.6</v>
      </c>
      <c r="C62" s="1" t="s">
        <v>499</v>
      </c>
    </row>
    <row r="63" customFormat="false" ht="15" hidden="false" customHeight="true" outlineLevel="0" collapsed="false">
      <c r="A63" s="1" t="s">
        <v>501</v>
      </c>
      <c r="B63" s="54" t="n">
        <f aca="false">B50*B61</f>
        <v>2917474.56</v>
      </c>
    </row>
    <row r="64" customFormat="false" ht="15" hidden="false" customHeight="true" outlineLevel="0" collapsed="false">
      <c r="A64" s="1" t="s">
        <v>502</v>
      </c>
      <c r="B64" s="93" t="n">
        <f aca="false">B63-B62</f>
        <v>1385148.96</v>
      </c>
    </row>
    <row r="65" customFormat="false" ht="21.75" hidden="false" customHeight="true" outlineLevel="0" collapsed="false">
      <c r="A65" s="94" t="s">
        <v>502</v>
      </c>
      <c r="B65" s="95" t="n">
        <f aca="false">B64-B63</f>
        <v>-1532325.6</v>
      </c>
    </row>
    <row r="66" customFormat="false" ht="15" hidden="false" customHeight="true" outlineLevel="0" collapsed="false">
      <c r="A66" s="1" t="s">
        <v>503</v>
      </c>
      <c r="B66" s="19" t="n">
        <f aca="false">B64*10</f>
        <v>13851489.6</v>
      </c>
    </row>
    <row r="67" customFormat="false" ht="15" hidden="false" customHeight="true" outlineLevel="0" collapsed="false">
      <c r="A67" s="1" t="s">
        <v>504</v>
      </c>
      <c r="B67" s="72" t="n">
        <f aca="false">B64*30</f>
        <v>41554468.8</v>
      </c>
    </row>
    <row r="68" customFormat="false" ht="15" hidden="false" customHeight="true" outlineLevel="0" collapsed="false">
      <c r="A68" s="1" t="s">
        <v>504</v>
      </c>
      <c r="B68" s="72" t="n">
        <f aca="false">B65*30</f>
        <v>-45969768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9.5" hidden="false" customHeight="true" outlineLevel="0" collapsed="false">
      <c r="A1" s="13" t="s">
        <v>505</v>
      </c>
      <c r="B1" s="13"/>
    </row>
    <row r="3" customFormat="false" ht="15" hidden="false" customHeight="true" outlineLevel="0" collapsed="false">
      <c r="A3" s="1" t="s">
        <v>506</v>
      </c>
    </row>
    <row r="4" customFormat="false" ht="15" hidden="false" customHeight="true" outlineLevel="0" collapsed="false">
      <c r="A4" s="1" t="s">
        <v>507</v>
      </c>
    </row>
    <row r="5" customFormat="false" ht="15" hidden="false" customHeight="true" outlineLevel="0" collapsed="false">
      <c r="A5" s="1" t="s">
        <v>508</v>
      </c>
    </row>
    <row r="6" customFormat="false" ht="15" hidden="false" customHeight="true" outlineLevel="0" collapsed="false">
      <c r="A6" s="1" t="s">
        <v>509</v>
      </c>
    </row>
    <row r="7" customFormat="false" ht="15" hidden="false" customHeight="true" outlineLevel="0" collapsed="false">
      <c r="A7" s="1" t="s">
        <v>510</v>
      </c>
    </row>
    <row r="8" customFormat="false" ht="15" hidden="false" customHeight="true" outlineLevel="0" collapsed="false">
      <c r="A8" s="1" t="s">
        <v>511</v>
      </c>
    </row>
    <row r="10" customFormat="false" ht="15" hidden="false" customHeight="true" outlineLevel="0" collapsed="false">
      <c r="A10" s="10" t="s">
        <v>512</v>
      </c>
    </row>
    <row r="11" customFormat="false" ht="15" hidden="false" customHeight="true" outlineLevel="0" collapsed="false">
      <c r="A11" s="1" t="s">
        <v>513</v>
      </c>
    </row>
    <row r="12" customFormat="false" ht="15" hidden="false" customHeight="true" outlineLevel="0" collapsed="false">
      <c r="A12" s="1" t="s">
        <v>514</v>
      </c>
    </row>
    <row r="13" customFormat="false" ht="15" hidden="false" customHeight="true" outlineLevel="0" collapsed="false">
      <c r="A13" s="1" t="s">
        <v>515</v>
      </c>
    </row>
    <row r="15" customFormat="false" ht="15" hidden="false" customHeight="true" outlineLevel="0" collapsed="false">
      <c r="A15" s="1" t="s">
        <v>516</v>
      </c>
    </row>
    <row r="16" customFormat="false" ht="15" hidden="false" customHeight="true" outlineLevel="0" collapsed="false">
      <c r="B16" s="1" t="s">
        <v>373</v>
      </c>
      <c r="C16" s="1" t="s">
        <v>374</v>
      </c>
      <c r="D16" s="1" t="s">
        <v>375</v>
      </c>
      <c r="E16" s="1" t="s">
        <v>376</v>
      </c>
      <c r="F16" s="1" t="s">
        <v>377</v>
      </c>
      <c r="G16" s="1" t="s">
        <v>378</v>
      </c>
      <c r="H16" s="1" t="s">
        <v>379</v>
      </c>
    </row>
    <row r="17" customFormat="false" ht="15" hidden="false" customHeight="true" outlineLevel="0" collapsed="false">
      <c r="A17" s="8" t="s">
        <v>517</v>
      </c>
      <c r="B17" s="1" t="s">
        <v>518</v>
      </c>
      <c r="C17" s="1" t="s">
        <v>518</v>
      </c>
      <c r="D17" s="1" t="s">
        <v>519</v>
      </c>
      <c r="E17" s="1" t="s">
        <v>519</v>
      </c>
      <c r="F17" s="1" t="s">
        <v>518</v>
      </c>
      <c r="G17" s="1" t="s">
        <v>518</v>
      </c>
      <c r="H17" s="1" t="s">
        <v>518</v>
      </c>
    </row>
    <row r="18" customFormat="false" ht="15" hidden="false" customHeight="true" outlineLevel="0" collapsed="false">
      <c r="A18" s="8" t="s">
        <v>520</v>
      </c>
      <c r="B18" s="1" t="s">
        <v>519</v>
      </c>
      <c r="C18" s="1" t="s">
        <v>519</v>
      </c>
      <c r="D18" s="1" t="s">
        <v>518</v>
      </c>
      <c r="E18" s="1" t="s">
        <v>518</v>
      </c>
      <c r="F18" s="1" t="s">
        <v>519</v>
      </c>
      <c r="G18" s="1" t="s">
        <v>519</v>
      </c>
      <c r="H18" s="1" t="s">
        <v>519</v>
      </c>
    </row>
    <row r="19" customFormat="false" ht="15" hidden="false" customHeight="true" outlineLevel="0" collapsed="false">
      <c r="A19" s="8" t="s">
        <v>521</v>
      </c>
      <c r="B19" s="1" t="s">
        <v>519</v>
      </c>
      <c r="C19" s="1" t="s">
        <v>519</v>
      </c>
      <c r="D19" s="1" t="s">
        <v>518</v>
      </c>
      <c r="E19" s="1" t="s">
        <v>518</v>
      </c>
      <c r="F19" s="1" t="s">
        <v>519</v>
      </c>
      <c r="G19" s="1" t="s">
        <v>519</v>
      </c>
      <c r="H19" s="1" t="s">
        <v>519</v>
      </c>
    </row>
    <row r="20" customFormat="false" ht="15" hidden="false" customHeight="true" outlineLevel="0" collapsed="false">
      <c r="A20" s="8" t="s">
        <v>522</v>
      </c>
      <c r="B20" s="1" t="s">
        <v>518</v>
      </c>
      <c r="C20" s="1" t="s">
        <v>518</v>
      </c>
      <c r="D20" s="1" t="s">
        <v>519</v>
      </c>
      <c r="E20" s="1" t="s">
        <v>519</v>
      </c>
      <c r="F20" s="1" t="s">
        <v>518</v>
      </c>
      <c r="G20" s="1" t="s">
        <v>518</v>
      </c>
      <c r="H20" s="1" t="s">
        <v>518</v>
      </c>
    </row>
    <row r="21" customFormat="false" ht="15" hidden="false" customHeight="true" outlineLevel="0" collapsed="false">
      <c r="A21" s="1" t="s">
        <v>523</v>
      </c>
    </row>
    <row r="23" customFormat="false" ht="15" hidden="false" customHeight="true" outlineLevel="0" collapsed="false">
      <c r="A23" s="1" t="s">
        <v>524</v>
      </c>
    </row>
    <row r="24" customFormat="false" ht="15" hidden="false" customHeight="true" outlineLevel="0" collapsed="false">
      <c r="A24" s="1" t="s">
        <v>525</v>
      </c>
    </row>
    <row r="25" customFormat="false" ht="15" hidden="false" customHeight="true" outlineLevel="0" collapsed="false">
      <c r="A25" s="1" t="s">
        <v>526</v>
      </c>
    </row>
    <row r="26" customFormat="false" ht="15" hidden="false" customHeight="true" outlineLevel="0" collapsed="false">
      <c r="A26" s="1" t="s">
        <v>527</v>
      </c>
    </row>
    <row r="28" customFormat="false" ht="15" hidden="false" customHeight="true" outlineLevel="0" collapsed="false">
      <c r="A28" s="10" t="s">
        <v>528</v>
      </c>
    </row>
    <row r="29" customFormat="false" ht="15" hidden="false" customHeight="true" outlineLevel="0" collapsed="false">
      <c r="A29" s="8" t="s">
        <v>529</v>
      </c>
    </row>
    <row r="30" customFormat="false" ht="15" hidden="false" customHeight="true" outlineLevel="0" collapsed="false">
      <c r="A30" s="8" t="s">
        <v>530</v>
      </c>
    </row>
    <row r="32" customFormat="false" ht="15" hidden="false" customHeight="true" outlineLevel="0" collapsed="false">
      <c r="A32" s="10" t="s">
        <v>531</v>
      </c>
    </row>
    <row r="33" customFormat="false" ht="15" hidden="false" customHeight="true" outlineLevel="0" collapsed="false">
      <c r="A33" s="1" t="s">
        <v>532</v>
      </c>
    </row>
    <row r="34" customFormat="false" ht="15" hidden="false" customHeight="true" outlineLevel="0" collapsed="false">
      <c r="A34" s="1" t="s">
        <v>533</v>
      </c>
    </row>
    <row r="35" customFormat="false" ht="15" hidden="false" customHeight="true" outlineLevel="0" collapsed="false">
      <c r="A35" s="1" t="s">
        <v>534</v>
      </c>
    </row>
    <row r="36" customFormat="false" ht="15" hidden="false" customHeight="true" outlineLevel="0" collapsed="false">
      <c r="A36" s="1" t="s">
        <v>535</v>
      </c>
    </row>
    <row r="38" customFormat="false" ht="15" hidden="false" customHeight="true" outlineLevel="0" collapsed="false">
      <c r="A38" s="10" t="s">
        <v>536</v>
      </c>
    </row>
    <row r="39" customFormat="false" ht="15" hidden="false" customHeight="true" outlineLevel="0" collapsed="false">
      <c r="A39" s="1" t="s">
        <v>537</v>
      </c>
    </row>
    <row r="40" customFormat="false" ht="15" hidden="false" customHeight="true" outlineLevel="0" collapsed="false">
      <c r="A40" s="1" t="s">
        <v>538</v>
      </c>
    </row>
    <row r="41" customFormat="false" ht="15" hidden="false" customHeight="true" outlineLevel="0" collapsed="false">
      <c r="A41" s="1" t="s">
        <v>539</v>
      </c>
    </row>
    <row r="42" customFormat="false" ht="15" hidden="false" customHeight="true" outlineLevel="0" collapsed="false">
      <c r="A42" s="1" t="s">
        <v>540</v>
      </c>
    </row>
    <row r="43" customFormat="false" ht="15" hidden="false" customHeight="true" outlineLevel="0" collapsed="false">
      <c r="A43" s="1" t="s">
        <v>541</v>
      </c>
    </row>
    <row r="44" customFormat="false" ht="15" hidden="false" customHeight="true" outlineLevel="0" collapsed="false">
      <c r="A44" s="1" t="s">
        <v>542</v>
      </c>
    </row>
    <row r="46" customFormat="false" ht="15" hidden="false" customHeight="true" outlineLevel="0" collapsed="false">
      <c r="A46" s="1" t="s">
        <v>543</v>
      </c>
    </row>
    <row r="47" customFormat="false" ht="15" hidden="false" customHeight="true" outlineLevel="0" collapsed="false">
      <c r="A47" s="1" t="s">
        <v>544</v>
      </c>
    </row>
    <row r="48" customFormat="false" ht="15" hidden="false" customHeight="true" outlineLevel="0" collapsed="false">
      <c r="A48" s="1" t="s">
        <v>545</v>
      </c>
    </row>
    <row r="49" customFormat="false" ht="15" hidden="false" customHeight="true" outlineLevel="0" collapsed="false">
      <c r="A49" s="1" t="s">
        <v>546</v>
      </c>
    </row>
    <row r="51" customFormat="false" ht="15" hidden="false" customHeight="true" outlineLevel="0" collapsed="false">
      <c r="A51" s="1" t="s">
        <v>547</v>
      </c>
    </row>
    <row r="52" customFormat="false" ht="15" hidden="false" customHeight="true" outlineLevel="0" collapsed="false">
      <c r="A52" s="1" t="s">
        <v>548</v>
      </c>
    </row>
    <row r="53" customFormat="false" ht="15" hidden="false" customHeight="true" outlineLevel="0" collapsed="false">
      <c r="A53" s="1" t="s">
        <v>549</v>
      </c>
    </row>
    <row r="55" customFormat="false" ht="15" hidden="false" customHeight="true" outlineLevel="0" collapsed="false">
      <c r="A55" s="10" t="s">
        <v>550</v>
      </c>
    </row>
    <row r="56" customFormat="false" ht="15" hidden="false" customHeight="true" outlineLevel="0" collapsed="false">
      <c r="A56" s="1" t="s">
        <v>551</v>
      </c>
    </row>
    <row r="57" customFormat="false" ht="15" hidden="false" customHeight="true" outlineLevel="0" collapsed="false">
      <c r="A57" s="1" t="s">
        <v>552</v>
      </c>
    </row>
    <row r="58" customFormat="false" ht="15" hidden="false" customHeight="true" outlineLevel="0" collapsed="false">
      <c r="A58" s="1" t="s">
        <v>553</v>
      </c>
    </row>
    <row r="59" customFormat="false" ht="15" hidden="false" customHeight="true" outlineLevel="0" collapsed="false">
      <c r="A59" s="1" t="s">
        <v>554</v>
      </c>
    </row>
    <row r="60" customFormat="false" ht="15" hidden="false" customHeight="true" outlineLevel="0" collapsed="false">
      <c r="A60" s="1" t="s">
        <v>555</v>
      </c>
    </row>
    <row r="61" customFormat="false" ht="15" hidden="false" customHeight="true" outlineLevel="0" collapsed="false">
      <c r="A61" s="1" t="s">
        <v>556</v>
      </c>
    </row>
    <row r="63" customFormat="false" ht="15" hidden="false" customHeight="true" outlineLevel="0" collapsed="false">
      <c r="A63" s="10" t="s">
        <v>557</v>
      </c>
    </row>
    <row r="64" customFormat="false" ht="15" hidden="false" customHeight="true" outlineLevel="0" collapsed="false">
      <c r="A64" s="1" t="s">
        <v>558</v>
      </c>
    </row>
    <row r="65" customFormat="false" ht="15" hidden="false" customHeight="true" outlineLevel="0" collapsed="false">
      <c r="A65" s="1" t="s">
        <v>559</v>
      </c>
    </row>
    <row r="66" customFormat="false" ht="15" hidden="false" customHeight="true" outlineLevel="0" collapsed="false">
      <c r="A66" s="1" t="s">
        <v>560</v>
      </c>
    </row>
    <row r="68" customFormat="false" ht="15" hidden="false" customHeight="true" outlineLevel="0" collapsed="false">
      <c r="A68" s="1" t="s">
        <v>561</v>
      </c>
    </row>
    <row r="69" customFormat="false" ht="15" hidden="false" customHeight="true" outlineLevel="0" collapsed="false">
      <c r="A69" s="1" t="s">
        <v>562</v>
      </c>
    </row>
    <row r="70" customFormat="false" ht="15" hidden="false" customHeight="true" outlineLevel="0" collapsed="false">
      <c r="A70" s="1" t="s">
        <v>563</v>
      </c>
    </row>
    <row r="71" customFormat="false" ht="15" hidden="false" customHeight="true" outlineLevel="0" collapsed="false">
      <c r="A71" s="1" t="s">
        <v>564</v>
      </c>
    </row>
    <row r="72" customFormat="false" ht="15" hidden="false" customHeight="true" outlineLevel="0" collapsed="false">
      <c r="A72" s="1" t="s">
        <v>565</v>
      </c>
    </row>
    <row r="73" customFormat="false" ht="15" hidden="false" customHeight="true" outlineLevel="0" collapsed="false">
      <c r="A73" s="1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4" t="s">
        <v>567</v>
      </c>
    </row>
    <row r="2" customFormat="false" ht="15" hidden="false" customHeight="true" outlineLevel="0" collapsed="false">
      <c r="A2" s="96" t="s">
        <v>568</v>
      </c>
    </row>
    <row r="3" customFormat="false" ht="15" hidden="false" customHeight="true" outlineLevel="0" collapsed="false">
      <c r="A3" s="7" t="s">
        <v>43</v>
      </c>
      <c r="B3" s="7" t="s">
        <v>7</v>
      </c>
      <c r="C3" s="7" t="s">
        <v>569</v>
      </c>
      <c r="D3" s="7" t="s">
        <v>570</v>
      </c>
      <c r="E3" s="7" t="s">
        <v>571</v>
      </c>
      <c r="F3" s="7" t="s">
        <v>572</v>
      </c>
      <c r="G3" s="7" t="s">
        <v>573</v>
      </c>
      <c r="H3" s="7" t="s">
        <v>574</v>
      </c>
      <c r="I3" s="7" t="s">
        <v>575</v>
      </c>
      <c r="J3" s="7" t="s">
        <v>576</v>
      </c>
      <c r="K3" s="7" t="s">
        <v>577</v>
      </c>
      <c r="L3" s="7" t="s">
        <v>578</v>
      </c>
      <c r="M3" s="7" t="s">
        <v>579</v>
      </c>
      <c r="N3" s="7" t="s">
        <v>580</v>
      </c>
      <c r="O3" s="7" t="s">
        <v>581</v>
      </c>
      <c r="P3" s="7" t="s">
        <v>582</v>
      </c>
      <c r="Q3" s="7" t="s">
        <v>583</v>
      </c>
      <c r="R3" s="7" t="s">
        <v>584</v>
      </c>
      <c r="S3" s="7" t="s">
        <v>585</v>
      </c>
      <c r="T3" s="7" t="s">
        <v>586</v>
      </c>
      <c r="U3" s="7" t="s">
        <v>587</v>
      </c>
      <c r="V3" s="7" t="s">
        <v>588</v>
      </c>
      <c r="W3" s="7" t="s">
        <v>589</v>
      </c>
      <c r="X3" s="7" t="s">
        <v>590</v>
      </c>
      <c r="Y3" s="7" t="s">
        <v>591</v>
      </c>
      <c r="Z3" s="7" t="s">
        <v>592</v>
      </c>
      <c r="AA3" s="7" t="s">
        <v>593</v>
      </c>
      <c r="AB3" s="7" t="s">
        <v>594</v>
      </c>
      <c r="AC3" s="7" t="s">
        <v>595</v>
      </c>
      <c r="AD3" s="7" t="s">
        <v>596</v>
      </c>
      <c r="AE3" s="7" t="s">
        <v>597</v>
      </c>
      <c r="AF3" s="7" t="s">
        <v>10</v>
      </c>
      <c r="AG3" s="7" t="s">
        <v>598</v>
      </c>
      <c r="AH3" s="7" t="s">
        <v>599</v>
      </c>
    </row>
    <row r="4" customFormat="false" ht="15" hidden="false" customHeight="true" outlineLevel="0" collapsed="false">
      <c r="A4" s="23" t="str">
        <f aca="false">ROSTER!A4</f>
        <v>Alice Johnson</v>
      </c>
      <c r="B4" s="23" t="str">
        <f aca="false">ROSTER!B4</f>
        <v>Day A</v>
      </c>
      <c r="C4" s="23" t="n">
        <f aca="false">IF(OR(ROSTER!E4="OFF",ROSTER!E4="AL",ROSTER!E4="SICK",ROSTER!E4="AVL",ROSTER!E4=""),0,1)</f>
        <v>1</v>
      </c>
      <c r="D4" s="23" t="n">
        <f aca="false">IF(OR(ROSTER!F4="OFF",ROSTER!F4="AL",ROSTER!F4="SICK",ROSTER!F4="AVL",ROSTER!F4=""),0,C4+1)</f>
        <v>2</v>
      </c>
      <c r="E4" s="23" t="n">
        <f aca="false">IF(OR(ROSTER!G4="OFF",ROSTER!G4="AL",ROSTER!G4="SICK",ROSTER!G4="AVL",ROSTER!G4=""),0,D4+1)</f>
        <v>0</v>
      </c>
      <c r="F4" s="23" t="n">
        <f aca="false">IF(OR(ROSTER!H4="OFF",ROSTER!H4="AL",ROSTER!H4="SICK",ROSTER!H4="AVL",ROSTER!H4=""),0,E4+1)</f>
        <v>0</v>
      </c>
      <c r="G4" s="23" t="n">
        <f aca="false">IF(OR(ROSTER!I4="OFF",ROSTER!I4="AL",ROSTER!I4="SICK",ROSTER!I4="AVL",ROSTER!I4=""),0,F4+1)</f>
        <v>1</v>
      </c>
      <c r="H4" s="23" t="n">
        <f aca="false">IF(OR(ROSTER!J4="OFF",ROSTER!J4="AL",ROSTER!J4="SICK",ROSTER!J4="AVL",ROSTER!J4=""),0,G4+1)</f>
        <v>2</v>
      </c>
      <c r="I4" s="23" t="n">
        <f aca="false">IF(OR(ROSTER!K4="OFF",ROSTER!K4="AL",ROSTER!K4="SICK",ROSTER!K4="AVL",ROSTER!K4=""),0,H4+1)</f>
        <v>3</v>
      </c>
      <c r="J4" s="23" t="n">
        <f aca="false">IF(OR(ROSTER!L4="OFF",ROSTER!L4="AL",ROSTER!L4="SICK",ROSTER!L4="AVL",ROSTER!L4=""),0,I4+1)</f>
        <v>0</v>
      </c>
      <c r="K4" s="23" t="n">
        <f aca="false">IF(OR(ROSTER!M4="OFF",ROSTER!M4="AL",ROSTER!M4="SICK",ROSTER!M4="AVL",ROSTER!M4=""),0,J4+1)</f>
        <v>0</v>
      </c>
      <c r="L4" s="23" t="n">
        <f aca="false">IF(OR(ROSTER!N4="OFF",ROSTER!N4="AL",ROSTER!N4="SICK",ROSTER!N4="AVL",ROSTER!N4=""),0,K4+1)</f>
        <v>1</v>
      </c>
      <c r="M4" s="23" t="n">
        <f aca="false">IF(OR(ROSTER!O4="OFF",ROSTER!O4="AL",ROSTER!O4="SICK",ROSTER!O4="AVL",ROSTER!O4=""),0,L4+1)</f>
        <v>2</v>
      </c>
      <c r="N4" s="23" t="n">
        <f aca="false">IF(OR(ROSTER!P4="OFF",ROSTER!P4="AL",ROSTER!P4="SICK",ROSTER!P4="AVL",ROSTER!P4=""),0,M4+1)</f>
        <v>0</v>
      </c>
      <c r="O4" s="23" t="n">
        <f aca="false">IF(OR(ROSTER!Q4="OFF",ROSTER!Q4="AL",ROSTER!Q4="SICK",ROSTER!Q4="AVL",ROSTER!Q4=""),0,N4+1)</f>
        <v>0</v>
      </c>
      <c r="P4" s="23" t="n">
        <f aca="false">IF(OR(ROSTER!R4="OFF",ROSTER!R4="AL",ROSTER!R4="SICK",ROSTER!R4="AVL",ROSTER!R4=""),0,O4+1)</f>
        <v>0</v>
      </c>
      <c r="Q4" s="23" t="n">
        <f aca="false">IF(OR(ROSTER!S4="OFF",ROSTER!S4="AL",ROSTER!S4="SICK",ROSTER!S4="AVL",ROSTER!S4=""),0,P4+1)</f>
        <v>1</v>
      </c>
      <c r="R4" s="23" t="n">
        <f aca="false">IF(OR(ROSTER!T4="OFF",ROSTER!T4="AL",ROSTER!T4="SICK",ROSTER!T4="AVL",ROSTER!T4=""),0,Q4+1)</f>
        <v>2</v>
      </c>
      <c r="S4" s="23" t="n">
        <f aca="false">IF(OR(ROSTER!U4="OFF",ROSTER!U4="AL",ROSTER!U4="SICK",ROSTER!U4="AVL",ROSTER!U4=""),0,R4+1)</f>
        <v>0</v>
      </c>
      <c r="T4" s="23" t="n">
        <f aca="false">IF(OR(ROSTER!V4="OFF",ROSTER!V4="AL",ROSTER!V4="SICK",ROSTER!V4="AVL",ROSTER!V4=""),0,S4+1)</f>
        <v>0</v>
      </c>
      <c r="U4" s="23" t="n">
        <f aca="false">IF(OR(ROSTER!W4="OFF",ROSTER!W4="AL",ROSTER!W4="SICK",ROSTER!W4="AVL",ROSTER!W4=""),0,T4+1)</f>
        <v>1</v>
      </c>
      <c r="V4" s="23" t="n">
        <f aca="false">IF(OR(ROSTER!X4="OFF",ROSTER!X4="AL",ROSTER!X4="SICK",ROSTER!X4="AVL",ROSTER!X4=""),0,U4+1)</f>
        <v>2</v>
      </c>
      <c r="W4" s="23" t="n">
        <f aca="false">IF(OR(ROSTER!Y4="OFF",ROSTER!Y4="AL",ROSTER!Y4="SICK",ROSTER!Y4="AVL",ROSTER!Y4=""),0,V4+1)</f>
        <v>3</v>
      </c>
      <c r="X4" s="23" t="n">
        <f aca="false">IF(OR(ROSTER!Z4="OFF",ROSTER!Z4="AL",ROSTER!Z4="SICK",ROSTER!Z4="AVL",ROSTER!Z4=""),0,W4+1)</f>
        <v>0</v>
      </c>
      <c r="Y4" s="23" t="n">
        <f aca="false">IF(OR(ROSTER!AA4="OFF",ROSTER!AA4="AL",ROSTER!AA4="SICK",ROSTER!AA4="AVL",ROSTER!AA4=""),0,X4+1)</f>
        <v>0</v>
      </c>
      <c r="Z4" s="23" t="n">
        <f aca="false">IF(OR(ROSTER!AB4="OFF",ROSTER!AB4="AL",ROSTER!AB4="SICK",ROSTER!AB4="AVL",ROSTER!AB4=""),0,Y4+1)</f>
        <v>1</v>
      </c>
      <c r="AA4" s="23" t="n">
        <f aca="false">IF(OR(ROSTER!AC4="OFF",ROSTER!AC4="AL",ROSTER!AC4="SICK",ROSTER!AC4="AVL",ROSTER!AC4=""),0,Z4+1)</f>
        <v>2</v>
      </c>
      <c r="AB4" s="23" t="n">
        <f aca="false">IF(OR(ROSTER!AD4="OFF",ROSTER!AD4="AL",ROSTER!AD4="SICK",ROSTER!AD4="AVL",ROSTER!AD4=""),0,AA4+1)</f>
        <v>0</v>
      </c>
      <c r="AC4" s="23" t="n">
        <f aca="false">IF(OR(ROSTER!AE4="OFF",ROSTER!AE4="AL",ROSTER!AE4="SICK",ROSTER!AE4="AVL",ROSTER!AE4=""),0,AB4+1)</f>
        <v>0</v>
      </c>
      <c r="AD4" s="23" t="n">
        <f aca="false">IF(OR(ROSTER!AF4="OFF",ROSTER!AF4="AL",ROSTER!AF4="SICK",ROSTER!AF4="AVL",ROSTER!AF4=""),0,AC4+1)</f>
        <v>0</v>
      </c>
      <c r="AE4" s="23" t="n">
        <f aca="false">MAX(C4:AD4)</f>
        <v>3</v>
      </c>
      <c r="AF4" s="23" t="str">
        <f aca="false">IF(AE4&gt;=CONFIG!$B$33,"🟣 BLOCK OT",IF(AE4&gt;=4,"⚠️ MONITOR","✅ OK"))</f>
        <v>✅ OK</v>
      </c>
      <c r="AG4" s="47" t="n">
        <f aca="false">ROSTER!AP4</f>
        <v>42.875</v>
      </c>
      <c r="AH4" s="47" t="str">
        <f aca="false">ROSTER!AQ4</f>
        <v>✅ OK</v>
      </c>
    </row>
    <row r="5" customFormat="false" ht="15" hidden="false" customHeight="true" outlineLevel="0" collapsed="false">
      <c r="A5" s="1" t="str">
        <f aca="false">ROSTER!A5</f>
        <v>Bob Smith</v>
      </c>
      <c r="B5" s="1" t="str">
        <f aca="false">ROSTER!B5</f>
        <v>Day A</v>
      </c>
      <c r="C5" s="34" t="n">
        <f aca="false">IF(OR(ROSTER!E5="OFF",ROSTER!E5="AL",ROSTER!E5="SICK",ROSTER!E5="AVL",ROSTER!E5=""),0,1)</f>
        <v>1</v>
      </c>
      <c r="D5" s="34" t="n">
        <f aca="false">IF(OR(ROSTER!F5="OFF",ROSTER!F5="AL",ROSTER!F5="SICK",ROSTER!F5="AVL",ROSTER!F5=""),0,C5+1)</f>
        <v>2</v>
      </c>
      <c r="E5" s="34" t="n">
        <f aca="false">IF(OR(ROSTER!G5="OFF",ROSTER!G5="AL",ROSTER!G5="SICK",ROSTER!G5="AVL",ROSTER!G5=""),0,D5+1)</f>
        <v>0</v>
      </c>
      <c r="F5" s="34" t="n">
        <f aca="false">IF(OR(ROSTER!H5="OFF",ROSTER!H5="AL",ROSTER!H5="SICK",ROSTER!H5="AVL",ROSTER!H5=""),0,E5+1)</f>
        <v>0</v>
      </c>
      <c r="G5" s="34" t="n">
        <f aca="false">IF(OR(ROSTER!I5="OFF",ROSTER!I5="AL",ROSTER!I5="SICK",ROSTER!I5="AVL",ROSTER!I5=""),0,F5+1)</f>
        <v>1</v>
      </c>
      <c r="H5" s="34" t="n">
        <f aca="false">IF(OR(ROSTER!J5="OFF",ROSTER!J5="AL",ROSTER!J5="SICK",ROSTER!J5="AVL",ROSTER!J5=""),0,G5+1)</f>
        <v>2</v>
      </c>
      <c r="I5" s="34" t="n">
        <f aca="false">IF(OR(ROSTER!K5="OFF",ROSTER!K5="AL",ROSTER!K5="SICK",ROSTER!K5="AVL",ROSTER!K5=""),0,H5+1)</f>
        <v>3</v>
      </c>
      <c r="J5" s="34" t="n">
        <f aca="false">IF(OR(ROSTER!L5="OFF",ROSTER!L5="AL",ROSTER!L5="SICK",ROSTER!L5="AVL",ROSTER!L5=""),0,I5+1)</f>
        <v>0</v>
      </c>
      <c r="K5" s="34" t="n">
        <f aca="false">IF(OR(ROSTER!M5="OFF",ROSTER!M5="AL",ROSTER!M5="SICK",ROSTER!M5="AVL",ROSTER!M5=""),0,J5+1)</f>
        <v>0</v>
      </c>
      <c r="L5" s="34" t="n">
        <f aca="false">IF(OR(ROSTER!N5="OFF",ROSTER!N5="AL",ROSTER!N5="SICK",ROSTER!N5="AVL",ROSTER!N5=""),0,K5+1)</f>
        <v>1</v>
      </c>
      <c r="M5" s="34" t="n">
        <f aca="false">IF(OR(ROSTER!O5="OFF",ROSTER!O5="AL",ROSTER!O5="SICK",ROSTER!O5="AVL",ROSTER!O5=""),0,L5+1)</f>
        <v>2</v>
      </c>
      <c r="N5" s="34" t="n">
        <f aca="false">IF(OR(ROSTER!P5="OFF",ROSTER!P5="AL",ROSTER!P5="SICK",ROSTER!P5="AVL",ROSTER!P5=""),0,M5+1)</f>
        <v>0</v>
      </c>
      <c r="O5" s="34" t="n">
        <f aca="false">IF(OR(ROSTER!Q5="OFF",ROSTER!Q5="AL",ROSTER!Q5="SICK",ROSTER!Q5="AVL",ROSTER!Q5=""),0,N5+1)</f>
        <v>0</v>
      </c>
      <c r="P5" s="34" t="n">
        <f aca="false">IF(OR(ROSTER!R5="OFF",ROSTER!R5="AL",ROSTER!R5="SICK",ROSTER!R5="AVL",ROSTER!R5=""),0,O5+1)</f>
        <v>0</v>
      </c>
      <c r="Q5" s="34" t="n">
        <f aca="false">IF(OR(ROSTER!S5="OFF",ROSTER!S5="AL",ROSTER!S5="SICK",ROSTER!S5="AVL",ROSTER!S5=""),0,P5+1)</f>
        <v>1</v>
      </c>
      <c r="R5" s="34" t="n">
        <f aca="false">IF(OR(ROSTER!T5="OFF",ROSTER!T5="AL",ROSTER!T5="SICK",ROSTER!T5="AVL",ROSTER!T5=""),0,Q5+1)</f>
        <v>2</v>
      </c>
      <c r="S5" s="34" t="n">
        <f aca="false">IF(OR(ROSTER!U5="OFF",ROSTER!U5="AL",ROSTER!U5="SICK",ROSTER!U5="AVL",ROSTER!U5=""),0,R5+1)</f>
        <v>0</v>
      </c>
      <c r="T5" s="34" t="n">
        <f aca="false">IF(OR(ROSTER!V5="OFF",ROSTER!V5="AL",ROSTER!V5="SICK",ROSTER!V5="AVL",ROSTER!V5=""),0,S5+1)</f>
        <v>0</v>
      </c>
      <c r="U5" s="34" t="n">
        <f aca="false">IF(OR(ROSTER!W5="OFF",ROSTER!W5="AL",ROSTER!W5="SICK",ROSTER!W5="AVL",ROSTER!W5=""),0,T5+1)</f>
        <v>1</v>
      </c>
      <c r="V5" s="34" t="n">
        <f aca="false">IF(OR(ROSTER!X5="OFF",ROSTER!X5="AL",ROSTER!X5="SICK",ROSTER!X5="AVL",ROSTER!X5=""),0,U5+1)</f>
        <v>2</v>
      </c>
      <c r="W5" s="34" t="n">
        <f aca="false">IF(OR(ROSTER!Y5="OFF",ROSTER!Y5="AL",ROSTER!Y5="SICK",ROSTER!Y5="AVL",ROSTER!Y5=""),0,V5+1)</f>
        <v>3</v>
      </c>
      <c r="X5" s="34" t="n">
        <f aca="false">IF(OR(ROSTER!Z5="OFF",ROSTER!Z5="AL",ROSTER!Z5="SICK",ROSTER!Z5="AVL",ROSTER!Z5=""),0,W5+1)</f>
        <v>0</v>
      </c>
      <c r="Y5" s="34" t="n">
        <f aca="false">IF(OR(ROSTER!AA5="OFF",ROSTER!AA5="AL",ROSTER!AA5="SICK",ROSTER!AA5="AVL",ROSTER!AA5=""),0,X5+1)</f>
        <v>0</v>
      </c>
      <c r="Z5" s="34" t="n">
        <f aca="false">IF(OR(ROSTER!AB5="OFF",ROSTER!AB5="AL",ROSTER!AB5="SICK",ROSTER!AB5="AVL",ROSTER!AB5=""),0,Y5+1)</f>
        <v>1</v>
      </c>
      <c r="AA5" s="34" t="n">
        <f aca="false">IF(OR(ROSTER!AC5="OFF",ROSTER!AC5="AL",ROSTER!AC5="SICK",ROSTER!AC5="AVL",ROSTER!AC5=""),0,Z5+1)</f>
        <v>2</v>
      </c>
      <c r="AB5" s="34" t="n">
        <f aca="false">IF(OR(ROSTER!AD5="OFF",ROSTER!AD5="AL",ROSTER!AD5="SICK",ROSTER!AD5="AVL",ROSTER!AD5=""),0,AA5+1)</f>
        <v>0</v>
      </c>
      <c r="AC5" s="34" t="n">
        <f aca="false">IF(OR(ROSTER!AE5="OFF",ROSTER!AE5="AL",ROSTER!AE5="SICK",ROSTER!AE5="AVL",ROSTER!AE5=""),0,AB5+1)</f>
        <v>0</v>
      </c>
      <c r="AD5" s="34" t="n">
        <f aca="false">IF(OR(ROSTER!AF5="OFF",ROSTER!AF5="AL",ROSTER!AF5="SICK",ROSTER!AF5="AVL",ROSTER!AF5=""),0,AC5+1)</f>
        <v>0</v>
      </c>
      <c r="AE5" s="34" t="n">
        <f aca="false">MAX(C5:AD5)</f>
        <v>3</v>
      </c>
      <c r="AF5" s="34" t="str">
        <f aca="false">IF(AE5&gt;=CONFIG!$B$33,"🟣 BLOCK OT",IF(AE5&gt;=4,"⚠️ MONITOR","✅ OK"))</f>
        <v>✅ OK</v>
      </c>
      <c r="AG5" s="47" t="n">
        <f aca="false">ROSTER!AP5</f>
        <v>42.875</v>
      </c>
      <c r="AH5" s="47" t="str">
        <f aca="false">ROSTER!AQ5</f>
        <v>✅ OK</v>
      </c>
    </row>
    <row r="6" customFormat="false" ht="15" hidden="false" customHeight="true" outlineLevel="0" collapsed="false">
      <c r="A6" s="1" t="str">
        <f aca="false">ROSTER!A6</f>
        <v>Carol Davis</v>
      </c>
      <c r="B6" s="1" t="str">
        <f aca="false">ROSTER!B6</f>
        <v>Day A</v>
      </c>
      <c r="C6" s="34" t="n">
        <f aca="false">IF(OR(ROSTER!E6="OFF",ROSTER!E6="AL",ROSTER!E6="SICK",ROSTER!E6="AVL",ROSTER!E6=""),0,1)</f>
        <v>1</v>
      </c>
      <c r="D6" s="34" t="n">
        <f aca="false">IF(OR(ROSTER!F6="OFF",ROSTER!F6="AL",ROSTER!F6="SICK",ROSTER!F6="AVL",ROSTER!F6=""),0,C6+1)</f>
        <v>2</v>
      </c>
      <c r="E6" s="34" t="n">
        <f aca="false">IF(OR(ROSTER!G6="OFF",ROSTER!G6="AL",ROSTER!G6="SICK",ROSTER!G6="AVL",ROSTER!G6=""),0,D6+1)</f>
        <v>0</v>
      </c>
      <c r="F6" s="34" t="n">
        <f aca="false">IF(OR(ROSTER!H6="OFF",ROSTER!H6="AL",ROSTER!H6="SICK",ROSTER!H6="AVL",ROSTER!H6=""),0,E6+1)</f>
        <v>0</v>
      </c>
      <c r="G6" s="34" t="n">
        <f aca="false">IF(OR(ROSTER!I6="OFF",ROSTER!I6="AL",ROSTER!I6="SICK",ROSTER!I6="AVL",ROSTER!I6=""),0,F6+1)</f>
        <v>1</v>
      </c>
      <c r="H6" s="34" t="n">
        <f aca="false">IF(OR(ROSTER!J6="OFF",ROSTER!J6="AL",ROSTER!J6="SICK",ROSTER!J6="AVL",ROSTER!J6=""),0,G6+1)</f>
        <v>2</v>
      </c>
      <c r="I6" s="34" t="n">
        <f aca="false">IF(OR(ROSTER!K6="OFF",ROSTER!K6="AL",ROSTER!K6="SICK",ROSTER!K6="AVL",ROSTER!K6=""),0,H6+1)</f>
        <v>3</v>
      </c>
      <c r="J6" s="34" t="n">
        <f aca="false">IF(OR(ROSTER!L6="OFF",ROSTER!L6="AL",ROSTER!L6="SICK",ROSTER!L6="AVL",ROSTER!L6=""),0,I6+1)</f>
        <v>0</v>
      </c>
      <c r="K6" s="34" t="n">
        <f aca="false">IF(OR(ROSTER!M6="OFF",ROSTER!M6="AL",ROSTER!M6="SICK",ROSTER!M6="AVL",ROSTER!M6=""),0,J6+1)</f>
        <v>0</v>
      </c>
      <c r="L6" s="34" t="n">
        <f aca="false">IF(OR(ROSTER!N6="OFF",ROSTER!N6="AL",ROSTER!N6="SICK",ROSTER!N6="AVL",ROSTER!N6=""),0,K6+1)</f>
        <v>1</v>
      </c>
      <c r="M6" s="34" t="n">
        <f aca="false">IF(OR(ROSTER!O6="OFF",ROSTER!O6="AL",ROSTER!O6="SICK",ROSTER!O6="AVL",ROSTER!O6=""),0,L6+1)</f>
        <v>2</v>
      </c>
      <c r="N6" s="34" t="n">
        <f aca="false">IF(OR(ROSTER!P6="OFF",ROSTER!P6="AL",ROSTER!P6="SICK",ROSTER!P6="AVL",ROSTER!P6=""),0,M6+1)</f>
        <v>0</v>
      </c>
      <c r="O6" s="34" t="n">
        <f aca="false">IF(OR(ROSTER!Q6="OFF",ROSTER!Q6="AL",ROSTER!Q6="SICK",ROSTER!Q6="AVL",ROSTER!Q6=""),0,N6+1)</f>
        <v>0</v>
      </c>
      <c r="P6" s="34" t="n">
        <f aca="false">IF(OR(ROSTER!R6="OFF",ROSTER!R6="AL",ROSTER!R6="SICK",ROSTER!R6="AVL",ROSTER!R6=""),0,O6+1)</f>
        <v>0</v>
      </c>
      <c r="Q6" s="34" t="n">
        <f aca="false">IF(OR(ROSTER!S6="OFF",ROSTER!S6="AL",ROSTER!S6="SICK",ROSTER!S6="AVL",ROSTER!S6=""),0,P6+1)</f>
        <v>1</v>
      </c>
      <c r="R6" s="34" t="n">
        <f aca="false">IF(OR(ROSTER!T6="OFF",ROSTER!T6="AL",ROSTER!T6="SICK",ROSTER!T6="AVL",ROSTER!T6=""),0,Q6+1)</f>
        <v>2</v>
      </c>
      <c r="S6" s="34" t="n">
        <f aca="false">IF(OR(ROSTER!U6="OFF",ROSTER!U6="AL",ROSTER!U6="SICK",ROSTER!U6="AVL",ROSTER!U6=""),0,R6+1)</f>
        <v>0</v>
      </c>
      <c r="T6" s="34" t="n">
        <f aca="false">IF(OR(ROSTER!V6="OFF",ROSTER!V6="AL",ROSTER!V6="SICK",ROSTER!V6="AVL",ROSTER!V6=""),0,S6+1)</f>
        <v>0</v>
      </c>
      <c r="U6" s="34" t="n">
        <f aca="false">IF(OR(ROSTER!W6="OFF",ROSTER!W6="AL",ROSTER!W6="SICK",ROSTER!W6="AVL",ROSTER!W6=""),0,T6+1)</f>
        <v>1</v>
      </c>
      <c r="V6" s="34" t="n">
        <f aca="false">IF(OR(ROSTER!X6="OFF",ROSTER!X6="AL",ROSTER!X6="SICK",ROSTER!X6="AVL",ROSTER!X6=""),0,U6+1)</f>
        <v>2</v>
      </c>
      <c r="W6" s="34" t="n">
        <f aca="false">IF(OR(ROSTER!Y6="OFF",ROSTER!Y6="AL",ROSTER!Y6="SICK",ROSTER!Y6="AVL",ROSTER!Y6=""),0,V6+1)</f>
        <v>3</v>
      </c>
      <c r="X6" s="34" t="n">
        <f aca="false">IF(OR(ROSTER!Z6="OFF",ROSTER!Z6="AL",ROSTER!Z6="SICK",ROSTER!Z6="AVL",ROSTER!Z6=""),0,W6+1)</f>
        <v>0</v>
      </c>
      <c r="Y6" s="34" t="n">
        <f aca="false">IF(OR(ROSTER!AA6="OFF",ROSTER!AA6="AL",ROSTER!AA6="SICK",ROSTER!AA6="AVL",ROSTER!AA6=""),0,X6+1)</f>
        <v>0</v>
      </c>
      <c r="Z6" s="34" t="n">
        <f aca="false">IF(OR(ROSTER!AB6="OFF",ROSTER!AB6="AL",ROSTER!AB6="SICK",ROSTER!AB6="AVL",ROSTER!AB6=""),0,Y6+1)</f>
        <v>1</v>
      </c>
      <c r="AA6" s="34" t="n">
        <f aca="false">IF(OR(ROSTER!AC6="OFF",ROSTER!AC6="AL",ROSTER!AC6="SICK",ROSTER!AC6="AVL",ROSTER!AC6=""),0,Z6+1)</f>
        <v>2</v>
      </c>
      <c r="AB6" s="34" t="n">
        <f aca="false">IF(OR(ROSTER!AD6="OFF",ROSTER!AD6="AL",ROSTER!AD6="SICK",ROSTER!AD6="AVL",ROSTER!AD6=""),0,AA6+1)</f>
        <v>0</v>
      </c>
      <c r="AC6" s="34" t="n">
        <f aca="false">IF(OR(ROSTER!AE6="OFF",ROSTER!AE6="AL",ROSTER!AE6="SICK",ROSTER!AE6="AVL",ROSTER!AE6=""),0,AB6+1)</f>
        <v>0</v>
      </c>
      <c r="AD6" s="34" t="n">
        <f aca="false">IF(OR(ROSTER!AF6="OFF",ROSTER!AF6="AL",ROSTER!AF6="SICK",ROSTER!AF6="AVL",ROSTER!AF6=""),0,AC6+1)</f>
        <v>0</v>
      </c>
      <c r="AE6" s="34" t="n">
        <f aca="false">MAX(C6:AD6)</f>
        <v>3</v>
      </c>
      <c r="AF6" s="34" t="str">
        <f aca="false">IF(AE6&gt;=CONFIG!$B$33,"🟣 BLOCK OT",IF(AE6&gt;=4,"⚠️ MONITOR","✅ OK"))</f>
        <v>✅ OK</v>
      </c>
      <c r="AG6" s="47" t="n">
        <f aca="false">ROSTER!AP6</f>
        <v>42.875</v>
      </c>
      <c r="AH6" s="47" t="str">
        <f aca="false">ROSTER!AQ6</f>
        <v>✅ OK</v>
      </c>
    </row>
    <row r="7" customFormat="false" ht="15" hidden="false" customHeight="true" outlineLevel="0" collapsed="false">
      <c r="A7" s="1" t="str">
        <f aca="false">ROSTER!A7</f>
        <v>David Wilson</v>
      </c>
      <c r="B7" s="1" t="str">
        <f aca="false">ROSTER!B7</f>
        <v>Day A</v>
      </c>
      <c r="C7" s="34" t="n">
        <f aca="false">IF(OR(ROSTER!E7="OFF",ROSTER!E7="AL",ROSTER!E7="SICK",ROSTER!E7="AVL",ROSTER!E7=""),0,1)</f>
        <v>1</v>
      </c>
      <c r="D7" s="34" t="n">
        <f aca="false">IF(OR(ROSTER!F7="OFF",ROSTER!F7="AL",ROSTER!F7="SICK",ROSTER!F7="AVL",ROSTER!F7=""),0,C7+1)</f>
        <v>2</v>
      </c>
      <c r="E7" s="34" t="n">
        <f aca="false">IF(OR(ROSTER!G7="OFF",ROSTER!G7="AL",ROSTER!G7="SICK",ROSTER!G7="AVL",ROSTER!G7=""),0,D7+1)</f>
        <v>0</v>
      </c>
      <c r="F7" s="34" t="n">
        <f aca="false">IF(OR(ROSTER!H7="OFF",ROSTER!H7="AL",ROSTER!H7="SICK",ROSTER!H7="AVL",ROSTER!H7=""),0,E7+1)</f>
        <v>0</v>
      </c>
      <c r="G7" s="34" t="n">
        <f aca="false">IF(OR(ROSTER!I7="OFF",ROSTER!I7="AL",ROSTER!I7="SICK",ROSTER!I7="AVL",ROSTER!I7=""),0,F7+1)</f>
        <v>1</v>
      </c>
      <c r="H7" s="34" t="n">
        <f aca="false">IF(OR(ROSTER!J7="OFF",ROSTER!J7="AL",ROSTER!J7="SICK",ROSTER!J7="AVL",ROSTER!J7=""),0,G7+1)</f>
        <v>2</v>
      </c>
      <c r="I7" s="34" t="n">
        <f aca="false">IF(OR(ROSTER!K7="OFF",ROSTER!K7="AL",ROSTER!K7="SICK",ROSTER!K7="AVL",ROSTER!K7=""),0,H7+1)</f>
        <v>3</v>
      </c>
      <c r="J7" s="34" t="n">
        <f aca="false">IF(OR(ROSTER!L7="OFF",ROSTER!L7="AL",ROSTER!L7="SICK",ROSTER!L7="AVL",ROSTER!L7=""),0,I7+1)</f>
        <v>0</v>
      </c>
      <c r="K7" s="34" t="n">
        <f aca="false">IF(OR(ROSTER!M7="OFF",ROSTER!M7="AL",ROSTER!M7="SICK",ROSTER!M7="AVL",ROSTER!M7=""),0,J7+1)</f>
        <v>0</v>
      </c>
      <c r="L7" s="34" t="n">
        <f aca="false">IF(OR(ROSTER!N7="OFF",ROSTER!N7="AL",ROSTER!N7="SICK",ROSTER!N7="AVL",ROSTER!N7=""),0,K7+1)</f>
        <v>1</v>
      </c>
      <c r="M7" s="34" t="n">
        <f aca="false">IF(OR(ROSTER!O7="OFF",ROSTER!O7="AL",ROSTER!O7="SICK",ROSTER!O7="AVL",ROSTER!O7=""),0,L7+1)</f>
        <v>2</v>
      </c>
      <c r="N7" s="34" t="n">
        <f aca="false">IF(OR(ROSTER!P7="OFF",ROSTER!P7="AL",ROSTER!P7="SICK",ROSTER!P7="AVL",ROSTER!P7=""),0,M7+1)</f>
        <v>0</v>
      </c>
      <c r="O7" s="34" t="n">
        <f aca="false">IF(OR(ROSTER!Q7="OFF",ROSTER!Q7="AL",ROSTER!Q7="SICK",ROSTER!Q7="AVL",ROSTER!Q7=""),0,N7+1)</f>
        <v>0</v>
      </c>
      <c r="P7" s="34" t="n">
        <f aca="false">IF(OR(ROSTER!R7="OFF",ROSTER!R7="AL",ROSTER!R7="SICK",ROSTER!R7="AVL",ROSTER!R7=""),0,O7+1)</f>
        <v>0</v>
      </c>
      <c r="Q7" s="34" t="n">
        <f aca="false">IF(OR(ROSTER!S7="OFF",ROSTER!S7="AL",ROSTER!S7="SICK",ROSTER!S7="AVL",ROSTER!S7=""),0,P7+1)</f>
        <v>1</v>
      </c>
      <c r="R7" s="34" t="n">
        <f aca="false">IF(OR(ROSTER!T7="OFF",ROSTER!T7="AL",ROSTER!T7="SICK",ROSTER!T7="AVL",ROSTER!T7=""),0,Q7+1)</f>
        <v>2</v>
      </c>
      <c r="S7" s="34" t="n">
        <f aca="false">IF(OR(ROSTER!U7="OFF",ROSTER!U7="AL",ROSTER!U7="SICK",ROSTER!U7="AVL",ROSTER!U7=""),0,R7+1)</f>
        <v>0</v>
      </c>
      <c r="T7" s="34" t="n">
        <f aca="false">IF(OR(ROSTER!V7="OFF",ROSTER!V7="AL",ROSTER!V7="SICK",ROSTER!V7="AVL",ROSTER!V7=""),0,S7+1)</f>
        <v>0</v>
      </c>
      <c r="U7" s="34" t="n">
        <f aca="false">IF(OR(ROSTER!W7="OFF",ROSTER!W7="AL",ROSTER!W7="SICK",ROSTER!W7="AVL",ROSTER!W7=""),0,T7+1)</f>
        <v>1</v>
      </c>
      <c r="V7" s="34" t="n">
        <f aca="false">IF(OR(ROSTER!X7="OFF",ROSTER!X7="AL",ROSTER!X7="SICK",ROSTER!X7="AVL",ROSTER!X7=""),0,U7+1)</f>
        <v>2</v>
      </c>
      <c r="W7" s="34" t="n">
        <f aca="false">IF(OR(ROSTER!Y7="OFF",ROSTER!Y7="AL",ROSTER!Y7="SICK",ROSTER!Y7="AVL",ROSTER!Y7=""),0,V7+1)</f>
        <v>3</v>
      </c>
      <c r="X7" s="34" t="n">
        <f aca="false">IF(OR(ROSTER!Z7="OFF",ROSTER!Z7="AL",ROSTER!Z7="SICK",ROSTER!Z7="AVL",ROSTER!Z7=""),0,W7+1)</f>
        <v>0</v>
      </c>
      <c r="Y7" s="34" t="n">
        <f aca="false">IF(OR(ROSTER!AA7="OFF",ROSTER!AA7="AL",ROSTER!AA7="SICK",ROSTER!AA7="AVL",ROSTER!AA7=""),0,X7+1)</f>
        <v>0</v>
      </c>
      <c r="Z7" s="34" t="n">
        <f aca="false">IF(OR(ROSTER!AB7="OFF",ROSTER!AB7="AL",ROSTER!AB7="SICK",ROSTER!AB7="AVL",ROSTER!AB7=""),0,Y7+1)</f>
        <v>1</v>
      </c>
      <c r="AA7" s="34" t="n">
        <f aca="false">IF(OR(ROSTER!AC7="OFF",ROSTER!AC7="AL",ROSTER!AC7="SICK",ROSTER!AC7="AVL",ROSTER!AC7=""),0,Z7+1)</f>
        <v>2</v>
      </c>
      <c r="AB7" s="34" t="n">
        <f aca="false">IF(OR(ROSTER!AD7="OFF",ROSTER!AD7="AL",ROSTER!AD7="SICK",ROSTER!AD7="AVL",ROSTER!AD7=""),0,AA7+1)</f>
        <v>0</v>
      </c>
      <c r="AC7" s="34" t="n">
        <f aca="false">IF(OR(ROSTER!AE7="OFF",ROSTER!AE7="AL",ROSTER!AE7="SICK",ROSTER!AE7="AVL",ROSTER!AE7=""),0,AB7+1)</f>
        <v>0</v>
      </c>
      <c r="AD7" s="34" t="n">
        <f aca="false">IF(OR(ROSTER!AF7="OFF",ROSTER!AF7="AL",ROSTER!AF7="SICK",ROSTER!AF7="AVL",ROSTER!AF7=""),0,AC7+1)</f>
        <v>0</v>
      </c>
      <c r="AE7" s="34" t="n">
        <f aca="false">MAX(C7:AD7)</f>
        <v>3</v>
      </c>
      <c r="AF7" s="34" t="str">
        <f aca="false">IF(AE7&gt;=CONFIG!$B$33,"🟣 BLOCK OT",IF(AE7&gt;=4,"⚠️ MONITOR","✅ OK"))</f>
        <v>✅ OK</v>
      </c>
      <c r="AG7" s="47" t="n">
        <f aca="false">ROSTER!AP7</f>
        <v>42.875</v>
      </c>
      <c r="AH7" s="47" t="str">
        <f aca="false">ROSTER!AQ7</f>
        <v>✅ OK</v>
      </c>
    </row>
    <row r="8" customFormat="false" ht="15" hidden="false" customHeight="true" outlineLevel="0" collapsed="false">
      <c r="A8" s="1" t="str">
        <f aca="false">ROSTER!A8</f>
        <v>Emma Brown</v>
      </c>
      <c r="B8" s="1" t="str">
        <f aca="false">ROSTER!B8</f>
        <v>Day A</v>
      </c>
      <c r="C8" s="34" t="n">
        <f aca="false">IF(OR(ROSTER!E8="OFF",ROSTER!E8="AL",ROSTER!E8="SICK",ROSTER!E8="AVL",ROSTER!E8=""),0,1)</f>
        <v>1</v>
      </c>
      <c r="D8" s="34" t="n">
        <f aca="false">IF(OR(ROSTER!F8="OFF",ROSTER!F8="AL",ROSTER!F8="SICK",ROSTER!F8="AVL",ROSTER!F8=""),0,C8+1)</f>
        <v>2</v>
      </c>
      <c r="E8" s="34" t="n">
        <f aca="false">IF(OR(ROSTER!G8="OFF",ROSTER!G8="AL",ROSTER!G8="SICK",ROSTER!G8="AVL",ROSTER!G8=""),0,D8+1)</f>
        <v>0</v>
      </c>
      <c r="F8" s="34" t="n">
        <f aca="false">IF(OR(ROSTER!H8="OFF",ROSTER!H8="AL",ROSTER!H8="SICK",ROSTER!H8="AVL",ROSTER!H8=""),0,E8+1)</f>
        <v>0</v>
      </c>
      <c r="G8" s="34" t="n">
        <f aca="false">IF(OR(ROSTER!I8="OFF",ROSTER!I8="AL",ROSTER!I8="SICK",ROSTER!I8="AVL",ROSTER!I8=""),0,F8+1)</f>
        <v>1</v>
      </c>
      <c r="H8" s="34" t="n">
        <f aca="false">IF(OR(ROSTER!J8="OFF",ROSTER!J8="AL",ROSTER!J8="SICK",ROSTER!J8="AVL",ROSTER!J8=""),0,G8+1)</f>
        <v>2</v>
      </c>
      <c r="I8" s="34" t="n">
        <f aca="false">IF(OR(ROSTER!K8="OFF",ROSTER!K8="AL",ROSTER!K8="SICK",ROSTER!K8="AVL",ROSTER!K8=""),0,H8+1)</f>
        <v>3</v>
      </c>
      <c r="J8" s="34" t="n">
        <f aca="false">IF(OR(ROSTER!L8="OFF",ROSTER!L8="AL",ROSTER!L8="SICK",ROSTER!L8="AVL",ROSTER!L8=""),0,I8+1)</f>
        <v>0</v>
      </c>
      <c r="K8" s="34" t="n">
        <f aca="false">IF(OR(ROSTER!M8="OFF",ROSTER!M8="AL",ROSTER!M8="SICK",ROSTER!M8="AVL",ROSTER!M8=""),0,J8+1)</f>
        <v>0</v>
      </c>
      <c r="L8" s="34" t="n">
        <f aca="false">IF(OR(ROSTER!N8="OFF",ROSTER!N8="AL",ROSTER!N8="SICK",ROSTER!N8="AVL",ROSTER!N8=""),0,K8+1)</f>
        <v>1</v>
      </c>
      <c r="M8" s="34" t="n">
        <f aca="false">IF(OR(ROSTER!O8="OFF",ROSTER!O8="AL",ROSTER!O8="SICK",ROSTER!O8="AVL",ROSTER!O8=""),0,L8+1)</f>
        <v>2</v>
      </c>
      <c r="N8" s="34" t="n">
        <f aca="false">IF(OR(ROSTER!P8="OFF",ROSTER!P8="AL",ROSTER!P8="SICK",ROSTER!P8="AVL",ROSTER!P8=""),0,M8+1)</f>
        <v>0</v>
      </c>
      <c r="O8" s="34" t="n">
        <f aca="false">IF(OR(ROSTER!Q8="OFF",ROSTER!Q8="AL",ROSTER!Q8="SICK",ROSTER!Q8="AVL",ROSTER!Q8=""),0,N8+1)</f>
        <v>0</v>
      </c>
      <c r="P8" s="34" t="n">
        <f aca="false">IF(OR(ROSTER!R8="OFF",ROSTER!R8="AL",ROSTER!R8="SICK",ROSTER!R8="AVL",ROSTER!R8=""),0,O8+1)</f>
        <v>0</v>
      </c>
      <c r="Q8" s="34" t="n">
        <f aca="false">IF(OR(ROSTER!S8="OFF",ROSTER!S8="AL",ROSTER!S8="SICK",ROSTER!S8="AVL",ROSTER!S8=""),0,P8+1)</f>
        <v>1</v>
      </c>
      <c r="R8" s="34" t="n">
        <f aca="false">IF(OR(ROSTER!T8="OFF",ROSTER!T8="AL",ROSTER!T8="SICK",ROSTER!T8="AVL",ROSTER!T8=""),0,Q8+1)</f>
        <v>2</v>
      </c>
      <c r="S8" s="34" t="n">
        <f aca="false">IF(OR(ROSTER!U8="OFF",ROSTER!U8="AL",ROSTER!U8="SICK",ROSTER!U8="AVL",ROSTER!U8=""),0,R8+1)</f>
        <v>0</v>
      </c>
      <c r="T8" s="34" t="n">
        <f aca="false">IF(OR(ROSTER!V8="OFF",ROSTER!V8="AL",ROSTER!V8="SICK",ROSTER!V8="AVL",ROSTER!V8=""),0,S8+1)</f>
        <v>0</v>
      </c>
      <c r="U8" s="34" t="n">
        <f aca="false">IF(OR(ROSTER!W8="OFF",ROSTER!W8="AL",ROSTER!W8="SICK",ROSTER!W8="AVL",ROSTER!W8=""),0,T8+1)</f>
        <v>1</v>
      </c>
      <c r="V8" s="34" t="n">
        <f aca="false">IF(OR(ROSTER!X8="OFF",ROSTER!X8="AL",ROSTER!X8="SICK",ROSTER!X8="AVL",ROSTER!X8=""),0,U8+1)</f>
        <v>2</v>
      </c>
      <c r="W8" s="34" t="n">
        <f aca="false">IF(OR(ROSTER!Y8="OFF",ROSTER!Y8="AL",ROSTER!Y8="SICK",ROSTER!Y8="AVL",ROSTER!Y8=""),0,V8+1)</f>
        <v>3</v>
      </c>
      <c r="X8" s="34" t="n">
        <f aca="false">IF(OR(ROSTER!Z8="OFF",ROSTER!Z8="AL",ROSTER!Z8="SICK",ROSTER!Z8="AVL",ROSTER!Z8=""),0,W8+1)</f>
        <v>0</v>
      </c>
      <c r="Y8" s="34" t="n">
        <f aca="false">IF(OR(ROSTER!AA8="OFF",ROSTER!AA8="AL",ROSTER!AA8="SICK",ROSTER!AA8="AVL",ROSTER!AA8=""),0,X8+1)</f>
        <v>0</v>
      </c>
      <c r="Z8" s="34" t="n">
        <f aca="false">IF(OR(ROSTER!AB8="OFF",ROSTER!AB8="AL",ROSTER!AB8="SICK",ROSTER!AB8="AVL",ROSTER!AB8=""),0,Y8+1)</f>
        <v>1</v>
      </c>
      <c r="AA8" s="34" t="n">
        <f aca="false">IF(OR(ROSTER!AC8="OFF",ROSTER!AC8="AL",ROSTER!AC8="SICK",ROSTER!AC8="AVL",ROSTER!AC8=""),0,Z8+1)</f>
        <v>2</v>
      </c>
      <c r="AB8" s="34" t="n">
        <f aca="false">IF(OR(ROSTER!AD8="OFF",ROSTER!AD8="AL",ROSTER!AD8="SICK",ROSTER!AD8="AVL",ROSTER!AD8=""),0,AA8+1)</f>
        <v>0</v>
      </c>
      <c r="AC8" s="34" t="n">
        <f aca="false">IF(OR(ROSTER!AE8="OFF",ROSTER!AE8="AL",ROSTER!AE8="SICK",ROSTER!AE8="AVL",ROSTER!AE8=""),0,AB8+1)</f>
        <v>0</v>
      </c>
      <c r="AD8" s="34" t="n">
        <f aca="false">IF(OR(ROSTER!AF8="OFF",ROSTER!AF8="AL",ROSTER!AF8="SICK",ROSTER!AF8="AVL",ROSTER!AF8=""),0,AC8+1)</f>
        <v>0</v>
      </c>
      <c r="AE8" s="34" t="n">
        <f aca="false">MAX(C8:AD8)</f>
        <v>3</v>
      </c>
      <c r="AF8" s="34" t="str">
        <f aca="false">IF(AE8&gt;=CONFIG!$B$33,"🟣 BLOCK OT",IF(AE8&gt;=4,"⚠️ MONITOR","✅ OK"))</f>
        <v>✅ OK</v>
      </c>
      <c r="AG8" s="47" t="n">
        <f aca="false">ROSTER!AP8</f>
        <v>42.875</v>
      </c>
      <c r="AH8" s="47" t="str">
        <f aca="false">ROSTER!AQ8</f>
        <v>✅ OK</v>
      </c>
    </row>
    <row r="9" customFormat="false" ht="15" hidden="false" customHeight="true" outlineLevel="0" collapsed="false">
      <c r="A9" s="1" t="str">
        <f aca="false">ROSTER!A9</f>
        <v>Fiona Hart</v>
      </c>
      <c r="B9" s="1" t="str">
        <f aca="false">ROSTER!B9</f>
        <v>Day A</v>
      </c>
      <c r="C9" s="34" t="n">
        <f aca="false">IF(OR(ROSTER!E9="OFF",ROSTER!E9="AL",ROSTER!E9="SICK",ROSTER!E9="AVL",ROSTER!E9=""),0,1)</f>
        <v>1</v>
      </c>
      <c r="D9" s="34" t="n">
        <f aca="false">IF(OR(ROSTER!F9="OFF",ROSTER!F9="AL",ROSTER!F9="SICK",ROSTER!F9="AVL",ROSTER!F9=""),0,C9+1)</f>
        <v>2</v>
      </c>
      <c r="E9" s="34" t="n">
        <f aca="false">IF(OR(ROSTER!G9="OFF",ROSTER!G9="AL",ROSTER!G9="SICK",ROSTER!G9="AVL",ROSTER!G9=""),0,D9+1)</f>
        <v>0</v>
      </c>
      <c r="F9" s="34" t="n">
        <f aca="false">IF(OR(ROSTER!H9="OFF",ROSTER!H9="AL",ROSTER!H9="SICK",ROSTER!H9="AVL",ROSTER!H9=""),0,E9+1)</f>
        <v>0</v>
      </c>
      <c r="G9" s="34" t="n">
        <f aca="false">IF(OR(ROSTER!I9="OFF",ROSTER!I9="AL",ROSTER!I9="SICK",ROSTER!I9="AVL",ROSTER!I9=""),0,F9+1)</f>
        <v>1</v>
      </c>
      <c r="H9" s="34" t="n">
        <f aca="false">IF(OR(ROSTER!J9="OFF",ROSTER!J9="AL",ROSTER!J9="SICK",ROSTER!J9="AVL",ROSTER!J9=""),0,G9+1)</f>
        <v>2</v>
      </c>
      <c r="I9" s="34" t="n">
        <f aca="false">IF(OR(ROSTER!K9="OFF",ROSTER!K9="AL",ROSTER!K9="SICK",ROSTER!K9="AVL",ROSTER!K9=""),0,H9+1)</f>
        <v>3</v>
      </c>
      <c r="J9" s="34" t="n">
        <f aca="false">IF(OR(ROSTER!L9="OFF",ROSTER!L9="AL",ROSTER!L9="SICK",ROSTER!L9="AVL",ROSTER!L9=""),0,I9+1)</f>
        <v>0</v>
      </c>
      <c r="K9" s="34" t="n">
        <f aca="false">IF(OR(ROSTER!M9="OFF",ROSTER!M9="AL",ROSTER!M9="SICK",ROSTER!M9="AVL",ROSTER!M9=""),0,J9+1)</f>
        <v>0</v>
      </c>
      <c r="L9" s="34" t="n">
        <f aca="false">IF(OR(ROSTER!N9="OFF",ROSTER!N9="AL",ROSTER!N9="SICK",ROSTER!N9="AVL",ROSTER!N9=""),0,K9+1)</f>
        <v>1</v>
      </c>
      <c r="M9" s="34" t="n">
        <f aca="false">IF(OR(ROSTER!O9="OFF",ROSTER!O9="AL",ROSTER!O9="SICK",ROSTER!O9="AVL",ROSTER!O9=""),0,L9+1)</f>
        <v>2</v>
      </c>
      <c r="N9" s="34" t="n">
        <f aca="false">IF(OR(ROSTER!P9="OFF",ROSTER!P9="AL",ROSTER!P9="SICK",ROSTER!P9="AVL",ROSTER!P9=""),0,M9+1)</f>
        <v>0</v>
      </c>
      <c r="O9" s="34" t="n">
        <f aca="false">IF(OR(ROSTER!Q9="OFF",ROSTER!Q9="AL",ROSTER!Q9="SICK",ROSTER!Q9="AVL",ROSTER!Q9=""),0,N9+1)</f>
        <v>0</v>
      </c>
      <c r="P9" s="34" t="n">
        <f aca="false">IF(OR(ROSTER!R9="OFF",ROSTER!R9="AL",ROSTER!R9="SICK",ROSTER!R9="AVL",ROSTER!R9=""),0,O9+1)</f>
        <v>0</v>
      </c>
      <c r="Q9" s="34" t="n">
        <f aca="false">IF(OR(ROSTER!S9="OFF",ROSTER!S9="AL",ROSTER!S9="SICK",ROSTER!S9="AVL",ROSTER!S9=""),0,P9+1)</f>
        <v>1</v>
      </c>
      <c r="R9" s="34" t="n">
        <f aca="false">IF(OR(ROSTER!T9="OFF",ROSTER!T9="AL",ROSTER!T9="SICK",ROSTER!T9="AVL",ROSTER!T9=""),0,Q9+1)</f>
        <v>2</v>
      </c>
      <c r="S9" s="34" t="n">
        <f aca="false">IF(OR(ROSTER!U9="OFF",ROSTER!U9="AL",ROSTER!U9="SICK",ROSTER!U9="AVL",ROSTER!U9=""),0,R9+1)</f>
        <v>0</v>
      </c>
      <c r="T9" s="34" t="n">
        <f aca="false">IF(OR(ROSTER!V9="OFF",ROSTER!V9="AL",ROSTER!V9="SICK",ROSTER!V9="AVL",ROSTER!V9=""),0,S9+1)</f>
        <v>0</v>
      </c>
      <c r="U9" s="34" t="n">
        <f aca="false">IF(OR(ROSTER!W9="OFF",ROSTER!W9="AL",ROSTER!W9="SICK",ROSTER!W9="AVL",ROSTER!W9=""),0,T9+1)</f>
        <v>1</v>
      </c>
      <c r="V9" s="34" t="n">
        <f aca="false">IF(OR(ROSTER!X9="OFF",ROSTER!X9="AL",ROSTER!X9="SICK",ROSTER!X9="AVL",ROSTER!X9=""),0,U9+1)</f>
        <v>2</v>
      </c>
      <c r="W9" s="34" t="n">
        <f aca="false">IF(OR(ROSTER!Y9="OFF",ROSTER!Y9="AL",ROSTER!Y9="SICK",ROSTER!Y9="AVL",ROSTER!Y9=""),0,V9+1)</f>
        <v>3</v>
      </c>
      <c r="X9" s="34" t="n">
        <f aca="false">IF(OR(ROSTER!Z9="OFF",ROSTER!Z9="AL",ROSTER!Z9="SICK",ROSTER!Z9="AVL",ROSTER!Z9=""),0,W9+1)</f>
        <v>0</v>
      </c>
      <c r="Y9" s="34" t="n">
        <f aca="false">IF(OR(ROSTER!AA9="OFF",ROSTER!AA9="AL",ROSTER!AA9="SICK",ROSTER!AA9="AVL",ROSTER!AA9=""),0,X9+1)</f>
        <v>0</v>
      </c>
      <c r="Z9" s="34" t="n">
        <f aca="false">IF(OR(ROSTER!AB9="OFF",ROSTER!AB9="AL",ROSTER!AB9="SICK",ROSTER!AB9="AVL",ROSTER!AB9=""),0,Y9+1)</f>
        <v>1</v>
      </c>
      <c r="AA9" s="34" t="n">
        <f aca="false">IF(OR(ROSTER!AC9="OFF",ROSTER!AC9="AL",ROSTER!AC9="SICK",ROSTER!AC9="AVL",ROSTER!AC9=""),0,Z9+1)</f>
        <v>2</v>
      </c>
      <c r="AB9" s="34" t="n">
        <f aca="false">IF(OR(ROSTER!AD9="OFF",ROSTER!AD9="AL",ROSTER!AD9="SICK",ROSTER!AD9="AVL",ROSTER!AD9=""),0,AA9+1)</f>
        <v>0</v>
      </c>
      <c r="AC9" s="34" t="n">
        <f aca="false">IF(OR(ROSTER!AE9="OFF",ROSTER!AE9="AL",ROSTER!AE9="SICK",ROSTER!AE9="AVL",ROSTER!AE9=""),0,AB9+1)</f>
        <v>0</v>
      </c>
      <c r="AD9" s="34" t="n">
        <f aca="false">IF(OR(ROSTER!AF9="OFF",ROSTER!AF9="AL",ROSTER!AF9="SICK",ROSTER!AF9="AVL",ROSTER!AF9=""),0,AC9+1)</f>
        <v>0</v>
      </c>
      <c r="AE9" s="34" t="n">
        <f aca="false">MAX(C9:AD9)</f>
        <v>3</v>
      </c>
      <c r="AF9" s="34" t="str">
        <f aca="false">IF(AE9&gt;=CONFIG!$B$33,"🟣 BLOCK OT",IF(AE9&gt;=4,"⚠️ MONITOR","✅ OK"))</f>
        <v>✅ OK</v>
      </c>
      <c r="AG9" s="47" t="n">
        <f aca="false">ROSTER!AP9</f>
        <v>42.875</v>
      </c>
      <c r="AH9" s="47" t="str">
        <f aca="false">ROSTER!AQ9</f>
        <v>✅ OK</v>
      </c>
    </row>
    <row r="10" customFormat="false" ht="15" hidden="false" customHeight="true" outlineLevel="0" collapsed="false">
      <c r="A10" s="1" t="str">
        <f aca="false">ROSTER!A10</f>
        <v>George King</v>
      </c>
      <c r="B10" s="1" t="str">
        <f aca="false">ROSTER!B10</f>
        <v>Day A</v>
      </c>
      <c r="C10" s="34" t="n">
        <f aca="false">IF(OR(ROSTER!E10="OFF",ROSTER!E10="AL",ROSTER!E10="SICK",ROSTER!E10="AVL",ROSTER!E10=""),0,1)</f>
        <v>1</v>
      </c>
      <c r="D10" s="34" t="n">
        <f aca="false">IF(OR(ROSTER!F10="OFF",ROSTER!F10="AL",ROSTER!F10="SICK",ROSTER!F10="AVL",ROSTER!F10=""),0,C10+1)</f>
        <v>2</v>
      </c>
      <c r="E10" s="34" t="n">
        <f aca="false">IF(OR(ROSTER!G10="OFF",ROSTER!G10="AL",ROSTER!G10="SICK",ROSTER!G10="AVL",ROSTER!G10=""),0,D10+1)</f>
        <v>0</v>
      </c>
      <c r="F10" s="34" t="n">
        <f aca="false">IF(OR(ROSTER!H10="OFF",ROSTER!H10="AL",ROSTER!H10="SICK",ROSTER!H10="AVL",ROSTER!H10=""),0,E10+1)</f>
        <v>0</v>
      </c>
      <c r="G10" s="34" t="n">
        <f aca="false">IF(OR(ROSTER!I10="OFF",ROSTER!I10="AL",ROSTER!I10="SICK",ROSTER!I10="AVL",ROSTER!I10=""),0,F10+1)</f>
        <v>1</v>
      </c>
      <c r="H10" s="34" t="n">
        <f aca="false">IF(OR(ROSTER!J10="OFF",ROSTER!J10="AL",ROSTER!J10="SICK",ROSTER!J10="AVL",ROSTER!J10=""),0,G10+1)</f>
        <v>2</v>
      </c>
      <c r="I10" s="34" t="n">
        <f aca="false">IF(OR(ROSTER!K10="OFF",ROSTER!K10="AL",ROSTER!K10="SICK",ROSTER!K10="AVL",ROSTER!K10=""),0,H10+1)</f>
        <v>3</v>
      </c>
      <c r="J10" s="34" t="n">
        <f aca="false">IF(OR(ROSTER!L10="OFF",ROSTER!L10="AL",ROSTER!L10="SICK",ROSTER!L10="AVL",ROSTER!L10=""),0,I10+1)</f>
        <v>0</v>
      </c>
      <c r="K10" s="34" t="n">
        <f aca="false">IF(OR(ROSTER!M10="OFF",ROSTER!M10="AL",ROSTER!M10="SICK",ROSTER!M10="AVL",ROSTER!M10=""),0,J10+1)</f>
        <v>0</v>
      </c>
      <c r="L10" s="34" t="n">
        <f aca="false">IF(OR(ROSTER!N10="OFF",ROSTER!N10="AL",ROSTER!N10="SICK",ROSTER!N10="AVL",ROSTER!N10=""),0,K10+1)</f>
        <v>1</v>
      </c>
      <c r="M10" s="34" t="n">
        <f aca="false">IF(OR(ROSTER!O10="OFF",ROSTER!O10="AL",ROSTER!O10="SICK",ROSTER!O10="AVL",ROSTER!O10=""),0,L10+1)</f>
        <v>2</v>
      </c>
      <c r="N10" s="34" t="n">
        <f aca="false">IF(OR(ROSTER!P10="OFF",ROSTER!P10="AL",ROSTER!P10="SICK",ROSTER!P10="AVL",ROSTER!P10=""),0,M10+1)</f>
        <v>0</v>
      </c>
      <c r="O10" s="34" t="n">
        <f aca="false">IF(OR(ROSTER!Q10="OFF",ROSTER!Q10="AL",ROSTER!Q10="SICK",ROSTER!Q10="AVL",ROSTER!Q10=""),0,N10+1)</f>
        <v>0</v>
      </c>
      <c r="P10" s="34" t="n">
        <f aca="false">IF(OR(ROSTER!R10="OFF",ROSTER!R10="AL",ROSTER!R10="SICK",ROSTER!R10="AVL",ROSTER!R10=""),0,O10+1)</f>
        <v>0</v>
      </c>
      <c r="Q10" s="34" t="n">
        <f aca="false">IF(OR(ROSTER!S10="OFF",ROSTER!S10="AL",ROSTER!S10="SICK",ROSTER!S10="AVL",ROSTER!S10=""),0,P10+1)</f>
        <v>1</v>
      </c>
      <c r="R10" s="34" t="n">
        <f aca="false">IF(OR(ROSTER!T10="OFF",ROSTER!T10="AL",ROSTER!T10="SICK",ROSTER!T10="AVL",ROSTER!T10=""),0,Q10+1)</f>
        <v>2</v>
      </c>
      <c r="S10" s="34" t="n">
        <f aca="false">IF(OR(ROSTER!U10="OFF",ROSTER!U10="AL",ROSTER!U10="SICK",ROSTER!U10="AVL",ROSTER!U10=""),0,R10+1)</f>
        <v>0</v>
      </c>
      <c r="T10" s="34" t="n">
        <f aca="false">IF(OR(ROSTER!V10="OFF",ROSTER!V10="AL",ROSTER!V10="SICK",ROSTER!V10="AVL",ROSTER!V10=""),0,S10+1)</f>
        <v>0</v>
      </c>
      <c r="U10" s="34" t="n">
        <f aca="false">IF(OR(ROSTER!W10="OFF",ROSTER!W10="AL",ROSTER!W10="SICK",ROSTER!W10="AVL",ROSTER!W10=""),0,T10+1)</f>
        <v>1</v>
      </c>
      <c r="V10" s="34" t="n">
        <f aca="false">IF(OR(ROSTER!X10="OFF",ROSTER!X10="AL",ROSTER!X10="SICK",ROSTER!X10="AVL",ROSTER!X10=""),0,U10+1)</f>
        <v>2</v>
      </c>
      <c r="W10" s="34" t="n">
        <f aca="false">IF(OR(ROSTER!Y10="OFF",ROSTER!Y10="AL",ROSTER!Y10="SICK",ROSTER!Y10="AVL",ROSTER!Y10=""),0,V10+1)</f>
        <v>3</v>
      </c>
      <c r="X10" s="34" t="n">
        <f aca="false">IF(OR(ROSTER!Z10="OFF",ROSTER!Z10="AL",ROSTER!Z10="SICK",ROSTER!Z10="AVL",ROSTER!Z10=""),0,W10+1)</f>
        <v>0</v>
      </c>
      <c r="Y10" s="34" t="n">
        <f aca="false">IF(OR(ROSTER!AA10="OFF",ROSTER!AA10="AL",ROSTER!AA10="SICK",ROSTER!AA10="AVL",ROSTER!AA10=""),0,X10+1)</f>
        <v>0</v>
      </c>
      <c r="Z10" s="34" t="n">
        <f aca="false">IF(OR(ROSTER!AB10="OFF",ROSTER!AB10="AL",ROSTER!AB10="SICK",ROSTER!AB10="AVL",ROSTER!AB10=""),0,Y10+1)</f>
        <v>1</v>
      </c>
      <c r="AA10" s="34" t="n">
        <f aca="false">IF(OR(ROSTER!AC10="OFF",ROSTER!AC10="AL",ROSTER!AC10="SICK",ROSTER!AC10="AVL",ROSTER!AC10=""),0,Z10+1)</f>
        <v>2</v>
      </c>
      <c r="AB10" s="34" t="n">
        <f aca="false">IF(OR(ROSTER!AD10="OFF",ROSTER!AD10="AL",ROSTER!AD10="SICK",ROSTER!AD10="AVL",ROSTER!AD10=""),0,AA10+1)</f>
        <v>0</v>
      </c>
      <c r="AC10" s="34" t="n">
        <f aca="false">IF(OR(ROSTER!AE10="OFF",ROSTER!AE10="AL",ROSTER!AE10="SICK",ROSTER!AE10="AVL",ROSTER!AE10=""),0,AB10+1)</f>
        <v>0</v>
      </c>
      <c r="AD10" s="34" t="n">
        <f aca="false">IF(OR(ROSTER!AF10="OFF",ROSTER!AF10="AL",ROSTER!AF10="SICK",ROSTER!AF10="AVL",ROSTER!AF10=""),0,AC10+1)</f>
        <v>0</v>
      </c>
      <c r="AE10" s="34" t="n">
        <f aca="false">MAX(C10:AD10)</f>
        <v>3</v>
      </c>
      <c r="AF10" s="34" t="str">
        <f aca="false">IF(AE10&gt;=CONFIG!$B$33,"🟣 BLOCK OT",IF(AE10&gt;=4,"⚠️ MONITOR","✅ OK"))</f>
        <v>✅ OK</v>
      </c>
      <c r="AG10" s="47" t="n">
        <f aca="false">ROSTER!AP10</f>
        <v>42.875</v>
      </c>
      <c r="AH10" s="47" t="str">
        <f aca="false">ROSTER!AQ10</f>
        <v>✅ OK</v>
      </c>
    </row>
    <row r="11" customFormat="false" ht="15" hidden="false" customHeight="true" outlineLevel="0" collapsed="false">
      <c r="A11" s="1" t="str">
        <f aca="false">ROSTER!A11</f>
        <v>Hannah Lee</v>
      </c>
      <c r="B11" s="1" t="str">
        <f aca="false">ROSTER!B11</f>
        <v>Day B</v>
      </c>
      <c r="C11" s="34" t="n">
        <f aca="false">IF(OR(ROSTER!E11="OFF",ROSTER!E11="AL",ROSTER!E11="SICK",ROSTER!E11="AVL",ROSTER!E11=""),0,1)</f>
        <v>0</v>
      </c>
      <c r="D11" s="34" t="n">
        <f aca="false">IF(OR(ROSTER!F11="OFF",ROSTER!F11="AL",ROSTER!F11="SICK",ROSTER!F11="AVL",ROSTER!F11=""),0,C11+1)</f>
        <v>0</v>
      </c>
      <c r="E11" s="34" t="n">
        <f aca="false">IF(OR(ROSTER!G11="OFF",ROSTER!G11="AL",ROSTER!G11="SICK",ROSTER!G11="AVL",ROSTER!G11=""),0,D11+1)</f>
        <v>1</v>
      </c>
      <c r="F11" s="34" t="n">
        <f aca="false">IF(OR(ROSTER!H11="OFF",ROSTER!H11="AL",ROSTER!H11="SICK",ROSTER!H11="AVL",ROSTER!H11=""),0,E11+1)</f>
        <v>2</v>
      </c>
      <c r="G11" s="34" t="n">
        <f aca="false">IF(OR(ROSTER!I11="OFF",ROSTER!I11="AL",ROSTER!I11="SICK",ROSTER!I11="AVL",ROSTER!I11=""),0,F11+1)</f>
        <v>0</v>
      </c>
      <c r="H11" s="34" t="n">
        <f aca="false">IF(OR(ROSTER!J11="OFF",ROSTER!J11="AL",ROSTER!J11="SICK",ROSTER!J11="AVL",ROSTER!J11=""),0,G11+1)</f>
        <v>0</v>
      </c>
      <c r="I11" s="34" t="n">
        <f aca="false">IF(OR(ROSTER!K11="OFF",ROSTER!K11="AL",ROSTER!K11="SICK",ROSTER!K11="AVL",ROSTER!K11=""),0,H11+1)</f>
        <v>0</v>
      </c>
      <c r="J11" s="34" t="n">
        <f aca="false">IF(OR(ROSTER!L11="OFF",ROSTER!L11="AL",ROSTER!L11="SICK",ROSTER!L11="AVL",ROSTER!L11=""),0,I11+1)</f>
        <v>1</v>
      </c>
      <c r="K11" s="34" t="n">
        <f aca="false">IF(OR(ROSTER!M11="OFF",ROSTER!M11="AL",ROSTER!M11="SICK",ROSTER!M11="AVL",ROSTER!M11=""),0,J11+1)</f>
        <v>2</v>
      </c>
      <c r="L11" s="34" t="n">
        <f aca="false">IF(OR(ROSTER!N11="OFF",ROSTER!N11="AL",ROSTER!N11="SICK",ROSTER!N11="AVL",ROSTER!N11=""),0,K11+1)</f>
        <v>0</v>
      </c>
      <c r="M11" s="34" t="n">
        <f aca="false">IF(OR(ROSTER!O11="OFF",ROSTER!O11="AL",ROSTER!O11="SICK",ROSTER!O11="AVL",ROSTER!O11=""),0,L11+1)</f>
        <v>0</v>
      </c>
      <c r="N11" s="34" t="n">
        <f aca="false">IF(OR(ROSTER!P11="OFF",ROSTER!P11="AL",ROSTER!P11="SICK",ROSTER!P11="AVL",ROSTER!P11=""),0,M11+1)</f>
        <v>1</v>
      </c>
      <c r="O11" s="34" t="n">
        <f aca="false">IF(OR(ROSTER!Q11="OFF",ROSTER!Q11="AL",ROSTER!Q11="SICK",ROSTER!Q11="AVL",ROSTER!Q11=""),0,N11+1)</f>
        <v>2</v>
      </c>
      <c r="P11" s="34" t="n">
        <f aca="false">IF(OR(ROSTER!R11="OFF",ROSTER!R11="AL",ROSTER!R11="SICK",ROSTER!R11="AVL",ROSTER!R11=""),0,O11+1)</f>
        <v>3</v>
      </c>
      <c r="Q11" s="34" t="n">
        <f aca="false">IF(OR(ROSTER!S11="OFF",ROSTER!S11="AL",ROSTER!S11="SICK",ROSTER!S11="AVL",ROSTER!S11=""),0,P11+1)</f>
        <v>0</v>
      </c>
      <c r="R11" s="34" t="n">
        <f aca="false">IF(OR(ROSTER!T11="OFF",ROSTER!T11="AL",ROSTER!T11="SICK",ROSTER!T11="AVL",ROSTER!T11=""),0,Q11+1)</f>
        <v>0</v>
      </c>
      <c r="S11" s="34" t="n">
        <f aca="false">IF(OR(ROSTER!U11="OFF",ROSTER!U11="AL",ROSTER!U11="SICK",ROSTER!U11="AVL",ROSTER!U11=""),0,R11+1)</f>
        <v>1</v>
      </c>
      <c r="T11" s="34" t="n">
        <f aca="false">IF(OR(ROSTER!V11="OFF",ROSTER!V11="AL",ROSTER!V11="SICK",ROSTER!V11="AVL",ROSTER!V11=""),0,S11+1)</f>
        <v>2</v>
      </c>
      <c r="U11" s="34" t="n">
        <f aca="false">IF(OR(ROSTER!W11="OFF",ROSTER!W11="AL",ROSTER!W11="SICK",ROSTER!W11="AVL",ROSTER!W11=""),0,T11+1)</f>
        <v>0</v>
      </c>
      <c r="V11" s="34" t="n">
        <f aca="false">IF(OR(ROSTER!X11="OFF",ROSTER!X11="AL",ROSTER!X11="SICK",ROSTER!X11="AVL",ROSTER!X11=""),0,U11+1)</f>
        <v>0</v>
      </c>
      <c r="W11" s="34" t="n">
        <f aca="false">IF(OR(ROSTER!Y11="OFF",ROSTER!Y11="AL",ROSTER!Y11="SICK",ROSTER!Y11="AVL",ROSTER!Y11=""),0,V11+1)</f>
        <v>0</v>
      </c>
      <c r="X11" s="34" t="n">
        <f aca="false">IF(OR(ROSTER!Z11="OFF",ROSTER!Z11="AL",ROSTER!Z11="SICK",ROSTER!Z11="AVL",ROSTER!Z11=""),0,W11+1)</f>
        <v>1</v>
      </c>
      <c r="Y11" s="34" t="n">
        <f aca="false">IF(OR(ROSTER!AA11="OFF",ROSTER!AA11="AL",ROSTER!AA11="SICK",ROSTER!AA11="AVL",ROSTER!AA11=""),0,X11+1)</f>
        <v>2</v>
      </c>
      <c r="Z11" s="34" t="n">
        <f aca="false">IF(OR(ROSTER!AB11="OFF",ROSTER!AB11="AL",ROSTER!AB11="SICK",ROSTER!AB11="AVL",ROSTER!AB11=""),0,Y11+1)</f>
        <v>0</v>
      </c>
      <c r="AA11" s="34" t="n">
        <f aca="false">IF(OR(ROSTER!AC11="OFF",ROSTER!AC11="AL",ROSTER!AC11="SICK",ROSTER!AC11="AVL",ROSTER!AC11=""),0,Z11+1)</f>
        <v>0</v>
      </c>
      <c r="AB11" s="34" t="n">
        <f aca="false">IF(OR(ROSTER!AD11="OFF",ROSTER!AD11="AL",ROSTER!AD11="SICK",ROSTER!AD11="AVL",ROSTER!AD11=""),0,AA11+1)</f>
        <v>1</v>
      </c>
      <c r="AC11" s="34" t="n">
        <f aca="false">IF(OR(ROSTER!AE11="OFF",ROSTER!AE11="AL",ROSTER!AE11="SICK",ROSTER!AE11="AVL",ROSTER!AE11=""),0,AB11+1)</f>
        <v>2</v>
      </c>
      <c r="AD11" s="34" t="n">
        <f aca="false">IF(OR(ROSTER!AF11="OFF",ROSTER!AF11="AL",ROSTER!AF11="SICK",ROSTER!AF11="AVL",ROSTER!AF11=""),0,AC11+1)</f>
        <v>3</v>
      </c>
      <c r="AE11" s="34" t="n">
        <f aca="false">MAX(C11:AD11)</f>
        <v>3</v>
      </c>
      <c r="AF11" s="34" t="str">
        <f aca="false">IF(AE11&gt;=CONFIG!$B$33,"🟣 BLOCK OT",IF(AE11&gt;=4,"⚠️ MONITOR","✅ OK"))</f>
        <v>✅ OK</v>
      </c>
      <c r="AG11" s="47" t="n">
        <f aca="false">ROSTER!AP11</f>
        <v>42.875</v>
      </c>
      <c r="AH11" s="47" t="str">
        <f aca="false">ROSTER!AQ11</f>
        <v>✅ OK</v>
      </c>
    </row>
    <row r="12" customFormat="false" ht="15" hidden="false" customHeight="true" outlineLevel="0" collapsed="false">
      <c r="A12" s="1" t="str">
        <f aca="false">ROSTER!A12</f>
        <v>Ian Clark</v>
      </c>
      <c r="B12" s="1" t="str">
        <f aca="false">ROSTER!B12</f>
        <v>Day B</v>
      </c>
      <c r="C12" s="34" t="n">
        <f aca="false">IF(OR(ROSTER!E12="OFF",ROSTER!E12="AL",ROSTER!E12="SICK",ROSTER!E12="AVL",ROSTER!E12=""),0,1)</f>
        <v>0</v>
      </c>
      <c r="D12" s="34" t="n">
        <f aca="false">IF(OR(ROSTER!F12="OFF",ROSTER!F12="AL",ROSTER!F12="SICK",ROSTER!F12="AVL",ROSTER!F12=""),0,C12+1)</f>
        <v>0</v>
      </c>
      <c r="E12" s="34" t="n">
        <f aca="false">IF(OR(ROSTER!G12="OFF",ROSTER!G12="AL",ROSTER!G12="SICK",ROSTER!G12="AVL",ROSTER!G12=""),0,D12+1)</f>
        <v>1</v>
      </c>
      <c r="F12" s="34" t="n">
        <f aca="false">IF(OR(ROSTER!H12="OFF",ROSTER!H12="AL",ROSTER!H12="SICK",ROSTER!H12="AVL",ROSTER!H12=""),0,E12+1)</f>
        <v>2</v>
      </c>
      <c r="G12" s="34" t="n">
        <f aca="false">IF(OR(ROSTER!I12="OFF",ROSTER!I12="AL",ROSTER!I12="SICK",ROSTER!I12="AVL",ROSTER!I12=""),0,F12+1)</f>
        <v>0</v>
      </c>
      <c r="H12" s="34" t="n">
        <f aca="false">IF(OR(ROSTER!J12="OFF",ROSTER!J12="AL",ROSTER!J12="SICK",ROSTER!J12="AVL",ROSTER!J12=""),0,G12+1)</f>
        <v>0</v>
      </c>
      <c r="I12" s="34" t="n">
        <f aca="false">IF(OR(ROSTER!K12="OFF",ROSTER!K12="AL",ROSTER!K12="SICK",ROSTER!K12="AVL",ROSTER!K12=""),0,H12+1)</f>
        <v>0</v>
      </c>
      <c r="J12" s="34" t="n">
        <f aca="false">IF(OR(ROSTER!L12="OFF",ROSTER!L12="AL",ROSTER!L12="SICK",ROSTER!L12="AVL",ROSTER!L12=""),0,I12+1)</f>
        <v>1</v>
      </c>
      <c r="K12" s="34" t="n">
        <f aca="false">IF(OR(ROSTER!M12="OFF",ROSTER!M12="AL",ROSTER!M12="SICK",ROSTER!M12="AVL",ROSTER!M12=""),0,J12+1)</f>
        <v>2</v>
      </c>
      <c r="L12" s="34" t="n">
        <f aca="false">IF(OR(ROSTER!N12="OFF",ROSTER!N12="AL",ROSTER!N12="SICK",ROSTER!N12="AVL",ROSTER!N12=""),0,K12+1)</f>
        <v>0</v>
      </c>
      <c r="M12" s="34" t="n">
        <f aca="false">IF(OR(ROSTER!O12="OFF",ROSTER!O12="AL",ROSTER!O12="SICK",ROSTER!O12="AVL",ROSTER!O12=""),0,L12+1)</f>
        <v>0</v>
      </c>
      <c r="N12" s="34" t="n">
        <f aca="false">IF(OR(ROSTER!P12="OFF",ROSTER!P12="AL",ROSTER!P12="SICK",ROSTER!P12="AVL",ROSTER!P12=""),0,M12+1)</f>
        <v>1</v>
      </c>
      <c r="O12" s="34" t="n">
        <f aca="false">IF(OR(ROSTER!Q12="OFF",ROSTER!Q12="AL",ROSTER!Q12="SICK",ROSTER!Q12="AVL",ROSTER!Q12=""),0,N12+1)</f>
        <v>2</v>
      </c>
      <c r="P12" s="34" t="n">
        <f aca="false">IF(OR(ROSTER!R12="OFF",ROSTER!R12="AL",ROSTER!R12="SICK",ROSTER!R12="AVL",ROSTER!R12=""),0,O12+1)</f>
        <v>3</v>
      </c>
      <c r="Q12" s="34" t="n">
        <f aca="false">IF(OR(ROSTER!S12="OFF",ROSTER!S12="AL",ROSTER!S12="SICK",ROSTER!S12="AVL",ROSTER!S12=""),0,P12+1)</f>
        <v>0</v>
      </c>
      <c r="R12" s="34" t="n">
        <f aca="false">IF(OR(ROSTER!T12="OFF",ROSTER!T12="AL",ROSTER!T12="SICK",ROSTER!T12="AVL",ROSTER!T12=""),0,Q12+1)</f>
        <v>0</v>
      </c>
      <c r="S12" s="34" t="n">
        <f aca="false">IF(OR(ROSTER!U12="OFF",ROSTER!U12="AL",ROSTER!U12="SICK",ROSTER!U12="AVL",ROSTER!U12=""),0,R12+1)</f>
        <v>1</v>
      </c>
      <c r="T12" s="34" t="n">
        <f aca="false">IF(OR(ROSTER!V12="OFF",ROSTER!V12="AL",ROSTER!V12="SICK",ROSTER!V12="AVL",ROSTER!V12=""),0,S12+1)</f>
        <v>2</v>
      </c>
      <c r="U12" s="34" t="n">
        <f aca="false">IF(OR(ROSTER!W12="OFF",ROSTER!W12="AL",ROSTER!W12="SICK",ROSTER!W12="AVL",ROSTER!W12=""),0,T12+1)</f>
        <v>0</v>
      </c>
      <c r="V12" s="34" t="n">
        <f aca="false">IF(OR(ROSTER!X12="OFF",ROSTER!X12="AL",ROSTER!X12="SICK",ROSTER!X12="AVL",ROSTER!X12=""),0,U12+1)</f>
        <v>0</v>
      </c>
      <c r="W12" s="34" t="n">
        <f aca="false">IF(OR(ROSTER!Y12="OFF",ROSTER!Y12="AL",ROSTER!Y12="SICK",ROSTER!Y12="AVL",ROSTER!Y12=""),0,V12+1)</f>
        <v>0</v>
      </c>
      <c r="X12" s="34" t="n">
        <f aca="false">IF(OR(ROSTER!Z12="OFF",ROSTER!Z12="AL",ROSTER!Z12="SICK",ROSTER!Z12="AVL",ROSTER!Z12=""),0,W12+1)</f>
        <v>1</v>
      </c>
      <c r="Y12" s="34" t="n">
        <f aca="false">IF(OR(ROSTER!AA12="OFF",ROSTER!AA12="AL",ROSTER!AA12="SICK",ROSTER!AA12="AVL",ROSTER!AA12=""),0,X12+1)</f>
        <v>2</v>
      </c>
      <c r="Z12" s="34" t="n">
        <f aca="false">IF(OR(ROSTER!AB12="OFF",ROSTER!AB12="AL",ROSTER!AB12="SICK",ROSTER!AB12="AVL",ROSTER!AB12=""),0,Y12+1)</f>
        <v>0</v>
      </c>
      <c r="AA12" s="34" t="n">
        <f aca="false">IF(OR(ROSTER!AC12="OFF",ROSTER!AC12="AL",ROSTER!AC12="SICK",ROSTER!AC12="AVL",ROSTER!AC12=""),0,Z12+1)</f>
        <v>0</v>
      </c>
      <c r="AB12" s="34" t="n">
        <f aca="false">IF(OR(ROSTER!AD12="OFF",ROSTER!AD12="AL",ROSTER!AD12="SICK",ROSTER!AD12="AVL",ROSTER!AD12=""),0,AA12+1)</f>
        <v>1</v>
      </c>
      <c r="AC12" s="34" t="n">
        <f aca="false">IF(OR(ROSTER!AE12="OFF",ROSTER!AE12="AL",ROSTER!AE12="SICK",ROSTER!AE12="AVL",ROSTER!AE12=""),0,AB12+1)</f>
        <v>2</v>
      </c>
      <c r="AD12" s="34" t="n">
        <f aca="false">IF(OR(ROSTER!AF12="OFF",ROSTER!AF12="AL",ROSTER!AF12="SICK",ROSTER!AF12="AVL",ROSTER!AF12=""),0,AC12+1)</f>
        <v>3</v>
      </c>
      <c r="AE12" s="34" t="n">
        <f aca="false">MAX(C12:AD12)</f>
        <v>3</v>
      </c>
      <c r="AF12" s="34" t="str">
        <f aca="false">IF(AE12&gt;=CONFIG!$B$33,"🟣 BLOCK OT",IF(AE12&gt;=4,"⚠️ MONITOR","✅ OK"))</f>
        <v>✅ OK</v>
      </c>
      <c r="AG12" s="47" t="n">
        <f aca="false">ROSTER!AP12</f>
        <v>42.875</v>
      </c>
      <c r="AH12" s="47" t="str">
        <f aca="false">ROSTER!AQ12</f>
        <v>✅ OK</v>
      </c>
    </row>
    <row r="13" customFormat="false" ht="15" hidden="false" customHeight="true" outlineLevel="0" collapsed="false">
      <c r="A13" s="1" t="str">
        <f aca="false">ROSTER!A13</f>
        <v>Julia Martin</v>
      </c>
      <c r="B13" s="1" t="str">
        <f aca="false">ROSTER!B13</f>
        <v>Day B</v>
      </c>
      <c r="C13" s="34" t="n">
        <f aca="false">IF(OR(ROSTER!E13="OFF",ROSTER!E13="AL",ROSTER!E13="SICK",ROSTER!E13="AVL",ROSTER!E13=""),0,1)</f>
        <v>0</v>
      </c>
      <c r="D13" s="34" t="n">
        <f aca="false">IF(OR(ROSTER!F13="OFF",ROSTER!F13="AL",ROSTER!F13="SICK",ROSTER!F13="AVL",ROSTER!F13=""),0,C13+1)</f>
        <v>0</v>
      </c>
      <c r="E13" s="34" t="n">
        <f aca="false">IF(OR(ROSTER!G13="OFF",ROSTER!G13="AL",ROSTER!G13="SICK",ROSTER!G13="AVL",ROSTER!G13=""),0,D13+1)</f>
        <v>1</v>
      </c>
      <c r="F13" s="34" t="n">
        <f aca="false">IF(OR(ROSTER!H13="OFF",ROSTER!H13="AL",ROSTER!H13="SICK",ROSTER!H13="AVL",ROSTER!H13=""),0,E13+1)</f>
        <v>2</v>
      </c>
      <c r="G13" s="34" t="n">
        <f aca="false">IF(OR(ROSTER!I13="OFF",ROSTER!I13="AL",ROSTER!I13="SICK",ROSTER!I13="AVL",ROSTER!I13=""),0,F13+1)</f>
        <v>0</v>
      </c>
      <c r="H13" s="34" t="n">
        <f aca="false">IF(OR(ROSTER!J13="OFF",ROSTER!J13="AL",ROSTER!J13="SICK",ROSTER!J13="AVL",ROSTER!J13=""),0,G13+1)</f>
        <v>0</v>
      </c>
      <c r="I13" s="34" t="n">
        <f aca="false">IF(OR(ROSTER!K13="OFF",ROSTER!K13="AL",ROSTER!K13="SICK",ROSTER!K13="AVL",ROSTER!K13=""),0,H13+1)</f>
        <v>0</v>
      </c>
      <c r="J13" s="34" t="n">
        <f aca="false">IF(OR(ROSTER!L13="OFF",ROSTER!L13="AL",ROSTER!L13="SICK",ROSTER!L13="AVL",ROSTER!L13=""),0,I13+1)</f>
        <v>1</v>
      </c>
      <c r="K13" s="34" t="n">
        <f aca="false">IF(OR(ROSTER!M13="OFF",ROSTER!M13="AL",ROSTER!M13="SICK",ROSTER!M13="AVL",ROSTER!M13=""),0,J13+1)</f>
        <v>2</v>
      </c>
      <c r="L13" s="34" t="n">
        <f aca="false">IF(OR(ROSTER!N13="OFF",ROSTER!N13="AL",ROSTER!N13="SICK",ROSTER!N13="AVL",ROSTER!N13=""),0,K13+1)</f>
        <v>0</v>
      </c>
      <c r="M13" s="34" t="n">
        <f aca="false">IF(OR(ROSTER!O13="OFF",ROSTER!O13="AL",ROSTER!O13="SICK",ROSTER!O13="AVL",ROSTER!O13=""),0,L13+1)</f>
        <v>0</v>
      </c>
      <c r="N13" s="34" t="n">
        <f aca="false">IF(OR(ROSTER!P13="OFF",ROSTER!P13="AL",ROSTER!P13="SICK",ROSTER!P13="AVL",ROSTER!P13=""),0,M13+1)</f>
        <v>1</v>
      </c>
      <c r="O13" s="34" t="n">
        <f aca="false">IF(OR(ROSTER!Q13="OFF",ROSTER!Q13="AL",ROSTER!Q13="SICK",ROSTER!Q13="AVL",ROSTER!Q13=""),0,N13+1)</f>
        <v>2</v>
      </c>
      <c r="P13" s="34" t="n">
        <f aca="false">IF(OR(ROSTER!R13="OFF",ROSTER!R13="AL",ROSTER!R13="SICK",ROSTER!R13="AVL",ROSTER!R13=""),0,O13+1)</f>
        <v>3</v>
      </c>
      <c r="Q13" s="34" t="n">
        <f aca="false">IF(OR(ROSTER!S13="OFF",ROSTER!S13="AL",ROSTER!S13="SICK",ROSTER!S13="AVL",ROSTER!S13=""),0,P13+1)</f>
        <v>0</v>
      </c>
      <c r="R13" s="34" t="n">
        <f aca="false">IF(OR(ROSTER!T13="OFF",ROSTER!T13="AL",ROSTER!T13="SICK",ROSTER!T13="AVL",ROSTER!T13=""),0,Q13+1)</f>
        <v>0</v>
      </c>
      <c r="S13" s="34" t="n">
        <f aca="false">IF(OR(ROSTER!U13="OFF",ROSTER!U13="AL",ROSTER!U13="SICK",ROSTER!U13="AVL",ROSTER!U13=""),0,R13+1)</f>
        <v>1</v>
      </c>
      <c r="T13" s="34" t="n">
        <f aca="false">IF(OR(ROSTER!V13="OFF",ROSTER!V13="AL",ROSTER!V13="SICK",ROSTER!V13="AVL",ROSTER!V13=""),0,S13+1)</f>
        <v>2</v>
      </c>
      <c r="U13" s="34" t="n">
        <f aca="false">IF(OR(ROSTER!W13="OFF",ROSTER!W13="AL",ROSTER!W13="SICK",ROSTER!W13="AVL",ROSTER!W13=""),0,T13+1)</f>
        <v>0</v>
      </c>
      <c r="V13" s="34" t="n">
        <f aca="false">IF(OR(ROSTER!X13="OFF",ROSTER!X13="AL",ROSTER!X13="SICK",ROSTER!X13="AVL",ROSTER!X13=""),0,U13+1)</f>
        <v>0</v>
      </c>
      <c r="W13" s="34" t="n">
        <f aca="false">IF(OR(ROSTER!Y13="OFF",ROSTER!Y13="AL",ROSTER!Y13="SICK",ROSTER!Y13="AVL",ROSTER!Y13=""),0,V13+1)</f>
        <v>0</v>
      </c>
      <c r="X13" s="34" t="n">
        <f aca="false">IF(OR(ROSTER!Z13="OFF",ROSTER!Z13="AL",ROSTER!Z13="SICK",ROSTER!Z13="AVL",ROSTER!Z13=""),0,W13+1)</f>
        <v>1</v>
      </c>
      <c r="Y13" s="34" t="n">
        <f aca="false">IF(OR(ROSTER!AA13="OFF",ROSTER!AA13="AL",ROSTER!AA13="SICK",ROSTER!AA13="AVL",ROSTER!AA13=""),0,X13+1)</f>
        <v>2</v>
      </c>
      <c r="Z13" s="34" t="n">
        <f aca="false">IF(OR(ROSTER!AB13="OFF",ROSTER!AB13="AL",ROSTER!AB13="SICK",ROSTER!AB13="AVL",ROSTER!AB13=""),0,Y13+1)</f>
        <v>0</v>
      </c>
      <c r="AA13" s="34" t="n">
        <f aca="false">IF(OR(ROSTER!AC13="OFF",ROSTER!AC13="AL",ROSTER!AC13="SICK",ROSTER!AC13="AVL",ROSTER!AC13=""),0,Z13+1)</f>
        <v>0</v>
      </c>
      <c r="AB13" s="34" t="n">
        <f aca="false">IF(OR(ROSTER!AD13="OFF",ROSTER!AD13="AL",ROSTER!AD13="SICK",ROSTER!AD13="AVL",ROSTER!AD13=""),0,AA13+1)</f>
        <v>1</v>
      </c>
      <c r="AC13" s="34" t="n">
        <f aca="false">IF(OR(ROSTER!AE13="OFF",ROSTER!AE13="AL",ROSTER!AE13="SICK",ROSTER!AE13="AVL",ROSTER!AE13=""),0,AB13+1)</f>
        <v>2</v>
      </c>
      <c r="AD13" s="34" t="n">
        <f aca="false">IF(OR(ROSTER!AF13="OFF",ROSTER!AF13="AL",ROSTER!AF13="SICK",ROSTER!AF13="AVL",ROSTER!AF13=""),0,AC13+1)</f>
        <v>3</v>
      </c>
      <c r="AE13" s="34" t="n">
        <f aca="false">MAX(C13:AD13)</f>
        <v>3</v>
      </c>
      <c r="AF13" s="34" t="str">
        <f aca="false">IF(AE13&gt;=CONFIG!$B$33,"🟣 BLOCK OT",IF(AE13&gt;=4,"⚠️ MONITOR","✅ OK"))</f>
        <v>✅ OK</v>
      </c>
      <c r="AG13" s="47" t="n">
        <f aca="false">ROSTER!AP13</f>
        <v>42.875</v>
      </c>
      <c r="AH13" s="47" t="str">
        <f aca="false">ROSTER!AQ13</f>
        <v>✅ OK</v>
      </c>
    </row>
    <row r="14" customFormat="false" ht="15" hidden="false" customHeight="true" outlineLevel="0" collapsed="false">
      <c r="A14" s="1" t="str">
        <f aca="false">ROSTER!A14</f>
        <v>Kevin White</v>
      </c>
      <c r="B14" s="1" t="str">
        <f aca="false">ROSTER!B14</f>
        <v>Day B</v>
      </c>
      <c r="C14" s="34" t="n">
        <f aca="false">IF(OR(ROSTER!E14="OFF",ROSTER!E14="AL",ROSTER!E14="SICK",ROSTER!E14="AVL",ROSTER!E14=""),0,1)</f>
        <v>0</v>
      </c>
      <c r="D14" s="34" t="n">
        <f aca="false">IF(OR(ROSTER!F14="OFF",ROSTER!F14="AL",ROSTER!F14="SICK",ROSTER!F14="AVL",ROSTER!F14=""),0,C14+1)</f>
        <v>0</v>
      </c>
      <c r="E14" s="34" t="n">
        <f aca="false">IF(OR(ROSTER!G14="OFF",ROSTER!G14="AL",ROSTER!G14="SICK",ROSTER!G14="AVL",ROSTER!G14=""),0,D14+1)</f>
        <v>1</v>
      </c>
      <c r="F14" s="34" t="n">
        <f aca="false">IF(OR(ROSTER!H14="OFF",ROSTER!H14="AL",ROSTER!H14="SICK",ROSTER!H14="AVL",ROSTER!H14=""),0,E14+1)</f>
        <v>2</v>
      </c>
      <c r="G14" s="34" t="n">
        <f aca="false">IF(OR(ROSTER!I14="OFF",ROSTER!I14="AL",ROSTER!I14="SICK",ROSTER!I14="AVL",ROSTER!I14=""),0,F14+1)</f>
        <v>0</v>
      </c>
      <c r="H14" s="34" t="n">
        <f aca="false">IF(OR(ROSTER!J14="OFF",ROSTER!J14="AL",ROSTER!J14="SICK",ROSTER!J14="AVL",ROSTER!J14=""),0,G14+1)</f>
        <v>0</v>
      </c>
      <c r="I14" s="34" t="n">
        <f aca="false">IF(OR(ROSTER!K14="OFF",ROSTER!K14="AL",ROSTER!K14="SICK",ROSTER!K14="AVL",ROSTER!K14=""),0,H14+1)</f>
        <v>0</v>
      </c>
      <c r="J14" s="34" t="n">
        <f aca="false">IF(OR(ROSTER!L14="OFF",ROSTER!L14="AL",ROSTER!L14="SICK",ROSTER!L14="AVL",ROSTER!L14=""),0,I14+1)</f>
        <v>1</v>
      </c>
      <c r="K14" s="34" t="n">
        <f aca="false">IF(OR(ROSTER!M14="OFF",ROSTER!M14="AL",ROSTER!M14="SICK",ROSTER!M14="AVL",ROSTER!M14=""),0,J14+1)</f>
        <v>2</v>
      </c>
      <c r="L14" s="34" t="n">
        <f aca="false">IF(OR(ROSTER!N14="OFF",ROSTER!N14="AL",ROSTER!N14="SICK",ROSTER!N14="AVL",ROSTER!N14=""),0,K14+1)</f>
        <v>0</v>
      </c>
      <c r="M14" s="34" t="n">
        <f aca="false">IF(OR(ROSTER!O14="OFF",ROSTER!O14="AL",ROSTER!O14="SICK",ROSTER!O14="AVL",ROSTER!O14=""),0,L14+1)</f>
        <v>0</v>
      </c>
      <c r="N14" s="34" t="n">
        <f aca="false">IF(OR(ROSTER!P14="OFF",ROSTER!P14="AL",ROSTER!P14="SICK",ROSTER!P14="AVL",ROSTER!P14=""),0,M14+1)</f>
        <v>1</v>
      </c>
      <c r="O14" s="34" t="n">
        <f aca="false">IF(OR(ROSTER!Q14="OFF",ROSTER!Q14="AL",ROSTER!Q14="SICK",ROSTER!Q14="AVL",ROSTER!Q14=""),0,N14+1)</f>
        <v>2</v>
      </c>
      <c r="P14" s="34" t="n">
        <f aca="false">IF(OR(ROSTER!R14="OFF",ROSTER!R14="AL",ROSTER!R14="SICK",ROSTER!R14="AVL",ROSTER!R14=""),0,O14+1)</f>
        <v>3</v>
      </c>
      <c r="Q14" s="34" t="n">
        <f aca="false">IF(OR(ROSTER!S14="OFF",ROSTER!S14="AL",ROSTER!S14="SICK",ROSTER!S14="AVL",ROSTER!S14=""),0,P14+1)</f>
        <v>0</v>
      </c>
      <c r="R14" s="34" t="n">
        <f aca="false">IF(OR(ROSTER!T14="OFF",ROSTER!T14="AL",ROSTER!T14="SICK",ROSTER!T14="AVL",ROSTER!T14=""),0,Q14+1)</f>
        <v>0</v>
      </c>
      <c r="S14" s="34" t="n">
        <f aca="false">IF(OR(ROSTER!U14="OFF",ROSTER!U14="AL",ROSTER!U14="SICK",ROSTER!U14="AVL",ROSTER!U14=""),0,R14+1)</f>
        <v>1</v>
      </c>
      <c r="T14" s="34" t="n">
        <f aca="false">IF(OR(ROSTER!V14="OFF",ROSTER!V14="AL",ROSTER!V14="SICK",ROSTER!V14="AVL",ROSTER!V14=""),0,S14+1)</f>
        <v>2</v>
      </c>
      <c r="U14" s="34" t="n">
        <f aca="false">IF(OR(ROSTER!W14="OFF",ROSTER!W14="AL",ROSTER!W14="SICK",ROSTER!W14="AVL",ROSTER!W14=""),0,T14+1)</f>
        <v>0</v>
      </c>
      <c r="V14" s="34" t="n">
        <f aca="false">IF(OR(ROSTER!X14="OFF",ROSTER!X14="AL",ROSTER!X14="SICK",ROSTER!X14="AVL",ROSTER!X14=""),0,U14+1)</f>
        <v>0</v>
      </c>
      <c r="W14" s="34" t="n">
        <f aca="false">IF(OR(ROSTER!Y14="OFF",ROSTER!Y14="AL",ROSTER!Y14="SICK",ROSTER!Y14="AVL",ROSTER!Y14=""),0,V14+1)</f>
        <v>0</v>
      </c>
      <c r="X14" s="34" t="n">
        <f aca="false">IF(OR(ROSTER!Z14="OFF",ROSTER!Z14="AL",ROSTER!Z14="SICK",ROSTER!Z14="AVL",ROSTER!Z14=""),0,W14+1)</f>
        <v>1</v>
      </c>
      <c r="Y14" s="34" t="n">
        <f aca="false">IF(OR(ROSTER!AA14="OFF",ROSTER!AA14="AL",ROSTER!AA14="SICK",ROSTER!AA14="AVL",ROSTER!AA14=""),0,X14+1)</f>
        <v>2</v>
      </c>
      <c r="Z14" s="34" t="n">
        <f aca="false">IF(OR(ROSTER!AB14="OFF",ROSTER!AB14="AL",ROSTER!AB14="SICK",ROSTER!AB14="AVL",ROSTER!AB14=""),0,Y14+1)</f>
        <v>0</v>
      </c>
      <c r="AA14" s="34" t="n">
        <f aca="false">IF(OR(ROSTER!AC14="OFF",ROSTER!AC14="AL",ROSTER!AC14="SICK",ROSTER!AC14="AVL",ROSTER!AC14=""),0,Z14+1)</f>
        <v>0</v>
      </c>
      <c r="AB14" s="34" t="n">
        <f aca="false">IF(OR(ROSTER!AD14="OFF",ROSTER!AD14="AL",ROSTER!AD14="SICK",ROSTER!AD14="AVL",ROSTER!AD14=""),0,AA14+1)</f>
        <v>1</v>
      </c>
      <c r="AC14" s="34" t="n">
        <f aca="false">IF(OR(ROSTER!AE14="OFF",ROSTER!AE14="AL",ROSTER!AE14="SICK",ROSTER!AE14="AVL",ROSTER!AE14=""),0,AB14+1)</f>
        <v>2</v>
      </c>
      <c r="AD14" s="34" t="n">
        <f aca="false">IF(OR(ROSTER!AF14="OFF",ROSTER!AF14="AL",ROSTER!AF14="SICK",ROSTER!AF14="AVL",ROSTER!AF14=""),0,AC14+1)</f>
        <v>3</v>
      </c>
      <c r="AE14" s="34" t="n">
        <f aca="false">MAX(C14:AD14)</f>
        <v>3</v>
      </c>
      <c r="AF14" s="34" t="str">
        <f aca="false">IF(AE14&gt;=CONFIG!$B$33,"🟣 BLOCK OT",IF(AE14&gt;=4,"⚠️ MONITOR","✅ OK"))</f>
        <v>✅ OK</v>
      </c>
      <c r="AG14" s="47" t="n">
        <f aca="false">ROSTER!AP14</f>
        <v>42.875</v>
      </c>
      <c r="AH14" s="47" t="str">
        <f aca="false">ROSTER!AQ14</f>
        <v>✅ OK</v>
      </c>
    </row>
    <row r="15" customFormat="false" ht="15" hidden="false" customHeight="true" outlineLevel="0" collapsed="false">
      <c r="A15" s="1" t="str">
        <f aca="false">ROSTER!A15</f>
        <v>Laura Adams</v>
      </c>
      <c r="B15" s="1" t="str">
        <f aca="false">ROSTER!B15</f>
        <v>Day B</v>
      </c>
      <c r="C15" s="34" t="n">
        <f aca="false">IF(OR(ROSTER!E15="OFF",ROSTER!E15="AL",ROSTER!E15="SICK",ROSTER!E15="AVL",ROSTER!E15=""),0,1)</f>
        <v>0</v>
      </c>
      <c r="D15" s="34" t="n">
        <f aca="false">IF(OR(ROSTER!F15="OFF",ROSTER!F15="AL",ROSTER!F15="SICK",ROSTER!F15="AVL",ROSTER!F15=""),0,C15+1)</f>
        <v>0</v>
      </c>
      <c r="E15" s="34" t="n">
        <f aca="false">IF(OR(ROSTER!G15="OFF",ROSTER!G15="AL",ROSTER!G15="SICK",ROSTER!G15="AVL",ROSTER!G15=""),0,D15+1)</f>
        <v>1</v>
      </c>
      <c r="F15" s="34" t="n">
        <f aca="false">IF(OR(ROSTER!H15="OFF",ROSTER!H15="AL",ROSTER!H15="SICK",ROSTER!H15="AVL",ROSTER!H15=""),0,E15+1)</f>
        <v>2</v>
      </c>
      <c r="G15" s="34" t="n">
        <f aca="false">IF(OR(ROSTER!I15="OFF",ROSTER!I15="AL",ROSTER!I15="SICK",ROSTER!I15="AVL",ROSTER!I15=""),0,F15+1)</f>
        <v>0</v>
      </c>
      <c r="H15" s="34" t="n">
        <f aca="false">IF(OR(ROSTER!J15="OFF",ROSTER!J15="AL",ROSTER!J15="SICK",ROSTER!J15="AVL",ROSTER!J15=""),0,G15+1)</f>
        <v>0</v>
      </c>
      <c r="I15" s="34" t="n">
        <f aca="false">IF(OR(ROSTER!K15="OFF",ROSTER!K15="AL",ROSTER!K15="SICK",ROSTER!K15="AVL",ROSTER!K15=""),0,H15+1)</f>
        <v>0</v>
      </c>
      <c r="J15" s="34" t="n">
        <f aca="false">IF(OR(ROSTER!L15="OFF",ROSTER!L15="AL",ROSTER!L15="SICK",ROSTER!L15="AVL",ROSTER!L15=""),0,I15+1)</f>
        <v>1</v>
      </c>
      <c r="K15" s="34" t="n">
        <f aca="false">IF(OR(ROSTER!M15="OFF",ROSTER!M15="AL",ROSTER!M15="SICK",ROSTER!M15="AVL",ROSTER!M15=""),0,J15+1)</f>
        <v>2</v>
      </c>
      <c r="L15" s="34" t="n">
        <f aca="false">IF(OR(ROSTER!N15="OFF",ROSTER!N15="AL",ROSTER!N15="SICK",ROSTER!N15="AVL",ROSTER!N15=""),0,K15+1)</f>
        <v>0</v>
      </c>
      <c r="M15" s="34" t="n">
        <f aca="false">IF(OR(ROSTER!O15="OFF",ROSTER!O15="AL",ROSTER!O15="SICK",ROSTER!O15="AVL",ROSTER!O15=""),0,L15+1)</f>
        <v>0</v>
      </c>
      <c r="N15" s="34" t="n">
        <f aca="false">IF(OR(ROSTER!P15="OFF",ROSTER!P15="AL",ROSTER!P15="SICK",ROSTER!P15="AVL",ROSTER!P15=""),0,M15+1)</f>
        <v>1</v>
      </c>
      <c r="O15" s="34" t="n">
        <f aca="false">IF(OR(ROSTER!Q15="OFF",ROSTER!Q15="AL",ROSTER!Q15="SICK",ROSTER!Q15="AVL",ROSTER!Q15=""),0,N15+1)</f>
        <v>2</v>
      </c>
      <c r="P15" s="34" t="n">
        <f aca="false">IF(OR(ROSTER!R15="OFF",ROSTER!R15="AL",ROSTER!R15="SICK",ROSTER!R15="AVL",ROSTER!R15=""),0,O15+1)</f>
        <v>3</v>
      </c>
      <c r="Q15" s="34" t="n">
        <f aca="false">IF(OR(ROSTER!S15="OFF",ROSTER!S15="AL",ROSTER!S15="SICK",ROSTER!S15="AVL",ROSTER!S15=""),0,P15+1)</f>
        <v>0</v>
      </c>
      <c r="R15" s="34" t="n">
        <f aca="false">IF(OR(ROSTER!T15="OFF",ROSTER!T15="AL",ROSTER!T15="SICK",ROSTER!T15="AVL",ROSTER!T15=""),0,Q15+1)</f>
        <v>0</v>
      </c>
      <c r="S15" s="34" t="n">
        <f aca="false">IF(OR(ROSTER!U15="OFF",ROSTER!U15="AL",ROSTER!U15="SICK",ROSTER!U15="AVL",ROSTER!U15=""),0,R15+1)</f>
        <v>1</v>
      </c>
      <c r="T15" s="34" t="n">
        <f aca="false">IF(OR(ROSTER!V15="OFF",ROSTER!V15="AL",ROSTER!V15="SICK",ROSTER!V15="AVL",ROSTER!V15=""),0,S15+1)</f>
        <v>2</v>
      </c>
      <c r="U15" s="34" t="n">
        <f aca="false">IF(OR(ROSTER!W15="OFF",ROSTER!W15="AL",ROSTER!W15="SICK",ROSTER!W15="AVL",ROSTER!W15=""),0,T15+1)</f>
        <v>0</v>
      </c>
      <c r="V15" s="34" t="n">
        <f aca="false">IF(OR(ROSTER!X15="OFF",ROSTER!X15="AL",ROSTER!X15="SICK",ROSTER!X15="AVL",ROSTER!X15=""),0,U15+1)</f>
        <v>0</v>
      </c>
      <c r="W15" s="34" t="n">
        <f aca="false">IF(OR(ROSTER!Y15="OFF",ROSTER!Y15="AL",ROSTER!Y15="SICK",ROSTER!Y15="AVL",ROSTER!Y15=""),0,V15+1)</f>
        <v>0</v>
      </c>
      <c r="X15" s="34" t="n">
        <f aca="false">IF(OR(ROSTER!Z15="OFF",ROSTER!Z15="AL",ROSTER!Z15="SICK",ROSTER!Z15="AVL",ROSTER!Z15=""),0,W15+1)</f>
        <v>1</v>
      </c>
      <c r="Y15" s="34" t="n">
        <f aca="false">IF(OR(ROSTER!AA15="OFF",ROSTER!AA15="AL",ROSTER!AA15="SICK",ROSTER!AA15="AVL",ROSTER!AA15=""),0,X15+1)</f>
        <v>2</v>
      </c>
      <c r="Z15" s="34" t="n">
        <f aca="false">IF(OR(ROSTER!AB15="OFF",ROSTER!AB15="AL",ROSTER!AB15="SICK",ROSTER!AB15="AVL",ROSTER!AB15=""),0,Y15+1)</f>
        <v>0</v>
      </c>
      <c r="AA15" s="34" t="n">
        <f aca="false">IF(OR(ROSTER!AC15="OFF",ROSTER!AC15="AL",ROSTER!AC15="SICK",ROSTER!AC15="AVL",ROSTER!AC15=""),0,Z15+1)</f>
        <v>0</v>
      </c>
      <c r="AB15" s="34" t="n">
        <f aca="false">IF(OR(ROSTER!AD15="OFF",ROSTER!AD15="AL",ROSTER!AD15="SICK",ROSTER!AD15="AVL",ROSTER!AD15=""),0,AA15+1)</f>
        <v>1</v>
      </c>
      <c r="AC15" s="34" t="n">
        <f aca="false">IF(OR(ROSTER!AE15="OFF",ROSTER!AE15="AL",ROSTER!AE15="SICK",ROSTER!AE15="AVL",ROSTER!AE15=""),0,AB15+1)</f>
        <v>2</v>
      </c>
      <c r="AD15" s="34" t="n">
        <f aca="false">IF(OR(ROSTER!AF15="OFF",ROSTER!AF15="AL",ROSTER!AF15="SICK",ROSTER!AF15="AVL",ROSTER!AF15=""),0,AC15+1)</f>
        <v>3</v>
      </c>
      <c r="AE15" s="34" t="n">
        <f aca="false">MAX(C15:AD15)</f>
        <v>3</v>
      </c>
      <c r="AF15" s="34" t="str">
        <f aca="false">IF(AE15&gt;=CONFIG!$B$33,"🟣 BLOCK OT",IF(AE15&gt;=4,"⚠️ MONITOR","✅ OK"))</f>
        <v>✅ OK</v>
      </c>
      <c r="AG15" s="47" t="n">
        <f aca="false">ROSTER!AP15</f>
        <v>42.875</v>
      </c>
      <c r="AH15" s="47" t="str">
        <f aca="false">ROSTER!AQ15</f>
        <v>✅ OK</v>
      </c>
    </row>
    <row r="16" customFormat="false" ht="15" hidden="false" customHeight="true" outlineLevel="0" collapsed="false">
      <c r="A16" s="1" t="str">
        <f aca="false">ROSTER!A16</f>
        <v>Mike Taylor</v>
      </c>
      <c r="B16" s="1" t="str">
        <f aca="false">ROSTER!B16</f>
        <v>Day B</v>
      </c>
      <c r="C16" s="34" t="n">
        <f aca="false">IF(OR(ROSTER!E16="OFF",ROSTER!E16="AL",ROSTER!E16="SICK",ROSTER!E16="AVL",ROSTER!E16=""),0,1)</f>
        <v>0</v>
      </c>
      <c r="D16" s="34" t="n">
        <f aca="false">IF(OR(ROSTER!F16="OFF",ROSTER!F16="AL",ROSTER!F16="SICK",ROSTER!F16="AVL",ROSTER!F16=""),0,C16+1)</f>
        <v>0</v>
      </c>
      <c r="E16" s="34" t="n">
        <f aca="false">IF(OR(ROSTER!G16="OFF",ROSTER!G16="AL",ROSTER!G16="SICK",ROSTER!G16="AVL",ROSTER!G16=""),0,D16+1)</f>
        <v>1</v>
      </c>
      <c r="F16" s="34" t="n">
        <f aca="false">IF(OR(ROSTER!H16="OFF",ROSTER!H16="AL",ROSTER!H16="SICK",ROSTER!H16="AVL",ROSTER!H16=""),0,E16+1)</f>
        <v>2</v>
      </c>
      <c r="G16" s="34" t="n">
        <f aca="false">IF(OR(ROSTER!I16="OFF",ROSTER!I16="AL",ROSTER!I16="SICK",ROSTER!I16="AVL",ROSTER!I16=""),0,F16+1)</f>
        <v>0</v>
      </c>
      <c r="H16" s="34" t="n">
        <f aca="false">IF(OR(ROSTER!J16="OFF",ROSTER!J16="AL",ROSTER!J16="SICK",ROSTER!J16="AVL",ROSTER!J16=""),0,G16+1)</f>
        <v>0</v>
      </c>
      <c r="I16" s="34" t="n">
        <f aca="false">IF(OR(ROSTER!K16="OFF",ROSTER!K16="AL",ROSTER!K16="SICK",ROSTER!K16="AVL",ROSTER!K16=""),0,H16+1)</f>
        <v>0</v>
      </c>
      <c r="J16" s="34" t="n">
        <f aca="false">IF(OR(ROSTER!L16="OFF",ROSTER!L16="AL",ROSTER!L16="SICK",ROSTER!L16="AVL",ROSTER!L16=""),0,I16+1)</f>
        <v>1</v>
      </c>
      <c r="K16" s="34" t="n">
        <f aca="false">IF(OR(ROSTER!M16="OFF",ROSTER!M16="AL",ROSTER!M16="SICK",ROSTER!M16="AVL",ROSTER!M16=""),0,J16+1)</f>
        <v>2</v>
      </c>
      <c r="L16" s="34" t="n">
        <f aca="false">IF(OR(ROSTER!N16="OFF",ROSTER!N16="AL",ROSTER!N16="SICK",ROSTER!N16="AVL",ROSTER!N16=""),0,K16+1)</f>
        <v>0</v>
      </c>
      <c r="M16" s="34" t="n">
        <f aca="false">IF(OR(ROSTER!O16="OFF",ROSTER!O16="AL",ROSTER!O16="SICK",ROSTER!O16="AVL",ROSTER!O16=""),0,L16+1)</f>
        <v>0</v>
      </c>
      <c r="N16" s="34" t="n">
        <f aca="false">IF(OR(ROSTER!P16="OFF",ROSTER!P16="AL",ROSTER!P16="SICK",ROSTER!P16="AVL",ROSTER!P16=""),0,M16+1)</f>
        <v>1</v>
      </c>
      <c r="O16" s="34" t="n">
        <f aca="false">IF(OR(ROSTER!Q16="OFF",ROSTER!Q16="AL",ROSTER!Q16="SICK",ROSTER!Q16="AVL",ROSTER!Q16=""),0,N16+1)</f>
        <v>2</v>
      </c>
      <c r="P16" s="34" t="n">
        <f aca="false">IF(OR(ROSTER!R16="OFF",ROSTER!R16="AL",ROSTER!R16="SICK",ROSTER!R16="AVL",ROSTER!R16=""),0,O16+1)</f>
        <v>3</v>
      </c>
      <c r="Q16" s="34" t="n">
        <f aca="false">IF(OR(ROSTER!S16="OFF",ROSTER!S16="AL",ROSTER!S16="SICK",ROSTER!S16="AVL",ROSTER!S16=""),0,P16+1)</f>
        <v>0</v>
      </c>
      <c r="R16" s="34" t="n">
        <f aca="false">IF(OR(ROSTER!T16="OFF",ROSTER!T16="AL",ROSTER!T16="SICK",ROSTER!T16="AVL",ROSTER!T16=""),0,Q16+1)</f>
        <v>0</v>
      </c>
      <c r="S16" s="34" t="n">
        <f aca="false">IF(OR(ROSTER!U16="OFF",ROSTER!U16="AL",ROSTER!U16="SICK",ROSTER!U16="AVL",ROSTER!U16=""),0,R16+1)</f>
        <v>1</v>
      </c>
      <c r="T16" s="34" t="n">
        <f aca="false">IF(OR(ROSTER!V16="OFF",ROSTER!V16="AL",ROSTER!V16="SICK",ROSTER!V16="AVL",ROSTER!V16=""),0,S16+1)</f>
        <v>2</v>
      </c>
      <c r="U16" s="34" t="n">
        <f aca="false">IF(OR(ROSTER!W16="OFF",ROSTER!W16="AL",ROSTER!W16="SICK",ROSTER!W16="AVL",ROSTER!W16=""),0,T16+1)</f>
        <v>0</v>
      </c>
      <c r="V16" s="34" t="n">
        <f aca="false">IF(OR(ROSTER!X16="OFF",ROSTER!X16="AL",ROSTER!X16="SICK",ROSTER!X16="AVL",ROSTER!X16=""),0,U16+1)</f>
        <v>0</v>
      </c>
      <c r="W16" s="34" t="n">
        <f aca="false">IF(OR(ROSTER!Y16="OFF",ROSTER!Y16="AL",ROSTER!Y16="SICK",ROSTER!Y16="AVL",ROSTER!Y16=""),0,V16+1)</f>
        <v>0</v>
      </c>
      <c r="X16" s="34" t="n">
        <f aca="false">IF(OR(ROSTER!Z16="OFF",ROSTER!Z16="AL",ROSTER!Z16="SICK",ROSTER!Z16="AVL",ROSTER!Z16=""),0,W16+1)</f>
        <v>1</v>
      </c>
      <c r="Y16" s="34" t="n">
        <f aca="false">IF(OR(ROSTER!AA16="OFF",ROSTER!AA16="AL",ROSTER!AA16="SICK",ROSTER!AA16="AVL",ROSTER!AA16=""),0,X16+1)</f>
        <v>2</v>
      </c>
      <c r="Z16" s="34" t="n">
        <f aca="false">IF(OR(ROSTER!AB16="OFF",ROSTER!AB16="AL",ROSTER!AB16="SICK",ROSTER!AB16="AVL",ROSTER!AB16=""),0,Y16+1)</f>
        <v>0</v>
      </c>
      <c r="AA16" s="34" t="n">
        <f aca="false">IF(OR(ROSTER!AC16="OFF",ROSTER!AC16="AL",ROSTER!AC16="SICK",ROSTER!AC16="AVL",ROSTER!AC16=""),0,Z16+1)</f>
        <v>0</v>
      </c>
      <c r="AB16" s="34" t="n">
        <f aca="false">IF(OR(ROSTER!AD16="OFF",ROSTER!AD16="AL",ROSTER!AD16="SICK",ROSTER!AD16="AVL",ROSTER!AD16=""),0,AA16+1)</f>
        <v>1</v>
      </c>
      <c r="AC16" s="34" t="n">
        <f aca="false">IF(OR(ROSTER!AE16="OFF",ROSTER!AE16="AL",ROSTER!AE16="SICK",ROSTER!AE16="AVL",ROSTER!AE16=""),0,AB16+1)</f>
        <v>2</v>
      </c>
      <c r="AD16" s="34" t="n">
        <f aca="false">IF(OR(ROSTER!AF16="OFF",ROSTER!AF16="AL",ROSTER!AF16="SICK",ROSTER!AF16="AVL",ROSTER!AF16=""),0,AC16+1)</f>
        <v>3</v>
      </c>
      <c r="AE16" s="34" t="n">
        <f aca="false">MAX(C16:AD16)</f>
        <v>3</v>
      </c>
      <c r="AF16" s="34" t="str">
        <f aca="false">IF(AE16&gt;=CONFIG!$B$33,"🟣 BLOCK OT",IF(AE16&gt;=4,"⚠️ MONITOR","✅ OK"))</f>
        <v>✅ OK</v>
      </c>
      <c r="AG16" s="47" t="n">
        <f aca="false">ROSTER!AP16</f>
        <v>42.875</v>
      </c>
      <c r="AH16" s="47" t="str">
        <f aca="false">ROSTER!AQ16</f>
        <v>✅ OK</v>
      </c>
    </row>
    <row r="17" customFormat="false" ht="15" hidden="false" customHeight="true" outlineLevel="0" collapsed="false">
      <c r="A17" s="1" t="str">
        <f aca="false">ROSTER!A17</f>
        <v>Nina Patel</v>
      </c>
      <c r="B17" s="1" t="str">
        <f aca="false">ROSTER!B17</f>
        <v>Day B</v>
      </c>
      <c r="C17" s="34" t="n">
        <f aca="false">IF(OR(ROSTER!E17="OFF",ROSTER!E17="AL",ROSTER!E17="SICK",ROSTER!E17="AVL",ROSTER!E17=""),0,1)</f>
        <v>0</v>
      </c>
      <c r="D17" s="34" t="n">
        <f aca="false">IF(OR(ROSTER!F17="OFF",ROSTER!F17="AL",ROSTER!F17="SICK",ROSTER!F17="AVL",ROSTER!F17=""),0,C17+1)</f>
        <v>0</v>
      </c>
      <c r="E17" s="34" t="n">
        <f aca="false">IF(OR(ROSTER!G17="OFF",ROSTER!G17="AL",ROSTER!G17="SICK",ROSTER!G17="AVL",ROSTER!G17=""),0,D17+1)</f>
        <v>1</v>
      </c>
      <c r="F17" s="34" t="n">
        <f aca="false">IF(OR(ROSTER!H17="OFF",ROSTER!H17="AL",ROSTER!H17="SICK",ROSTER!H17="AVL",ROSTER!H17=""),0,E17+1)</f>
        <v>2</v>
      </c>
      <c r="G17" s="34" t="n">
        <f aca="false">IF(OR(ROSTER!I17="OFF",ROSTER!I17="AL",ROSTER!I17="SICK",ROSTER!I17="AVL",ROSTER!I17=""),0,F17+1)</f>
        <v>0</v>
      </c>
      <c r="H17" s="34" t="n">
        <f aca="false">IF(OR(ROSTER!J17="OFF",ROSTER!J17="AL",ROSTER!J17="SICK",ROSTER!J17="AVL",ROSTER!J17=""),0,G17+1)</f>
        <v>0</v>
      </c>
      <c r="I17" s="34" t="n">
        <f aca="false">IF(OR(ROSTER!K17="OFF",ROSTER!K17="AL",ROSTER!K17="SICK",ROSTER!K17="AVL",ROSTER!K17=""),0,H17+1)</f>
        <v>0</v>
      </c>
      <c r="J17" s="34" t="n">
        <f aca="false">IF(OR(ROSTER!L17="OFF",ROSTER!L17="AL",ROSTER!L17="SICK",ROSTER!L17="AVL",ROSTER!L17=""),0,I17+1)</f>
        <v>1</v>
      </c>
      <c r="K17" s="34" t="n">
        <f aca="false">IF(OR(ROSTER!M17="OFF",ROSTER!M17="AL",ROSTER!M17="SICK",ROSTER!M17="AVL",ROSTER!M17=""),0,J17+1)</f>
        <v>2</v>
      </c>
      <c r="L17" s="34" t="n">
        <f aca="false">IF(OR(ROSTER!N17="OFF",ROSTER!N17="AL",ROSTER!N17="SICK",ROSTER!N17="AVL",ROSTER!N17=""),0,K17+1)</f>
        <v>0</v>
      </c>
      <c r="M17" s="34" t="n">
        <f aca="false">IF(OR(ROSTER!O17="OFF",ROSTER!O17="AL",ROSTER!O17="SICK",ROSTER!O17="AVL",ROSTER!O17=""),0,L17+1)</f>
        <v>0</v>
      </c>
      <c r="N17" s="34" t="n">
        <f aca="false">IF(OR(ROSTER!P17="OFF",ROSTER!P17="AL",ROSTER!P17="SICK",ROSTER!P17="AVL",ROSTER!P17=""),0,M17+1)</f>
        <v>1</v>
      </c>
      <c r="O17" s="34" t="n">
        <f aca="false">IF(OR(ROSTER!Q17="OFF",ROSTER!Q17="AL",ROSTER!Q17="SICK",ROSTER!Q17="AVL",ROSTER!Q17=""),0,N17+1)</f>
        <v>2</v>
      </c>
      <c r="P17" s="34" t="n">
        <f aca="false">IF(OR(ROSTER!R17="OFF",ROSTER!R17="AL",ROSTER!R17="SICK",ROSTER!R17="AVL",ROSTER!R17=""),0,O17+1)</f>
        <v>3</v>
      </c>
      <c r="Q17" s="34" t="n">
        <f aca="false">IF(OR(ROSTER!S17="OFF",ROSTER!S17="AL",ROSTER!S17="SICK",ROSTER!S17="AVL",ROSTER!S17=""),0,P17+1)</f>
        <v>0</v>
      </c>
      <c r="R17" s="34" t="n">
        <f aca="false">IF(OR(ROSTER!T17="OFF",ROSTER!T17="AL",ROSTER!T17="SICK",ROSTER!T17="AVL",ROSTER!T17=""),0,Q17+1)</f>
        <v>0</v>
      </c>
      <c r="S17" s="34" t="n">
        <f aca="false">IF(OR(ROSTER!U17="OFF",ROSTER!U17="AL",ROSTER!U17="SICK",ROSTER!U17="AVL",ROSTER!U17=""),0,R17+1)</f>
        <v>1</v>
      </c>
      <c r="T17" s="34" t="n">
        <f aca="false">IF(OR(ROSTER!V17="OFF",ROSTER!V17="AL",ROSTER!V17="SICK",ROSTER!V17="AVL",ROSTER!V17=""),0,S17+1)</f>
        <v>2</v>
      </c>
      <c r="U17" s="34" t="n">
        <f aca="false">IF(OR(ROSTER!W17="OFF",ROSTER!W17="AL",ROSTER!W17="SICK",ROSTER!W17="AVL",ROSTER!W17=""),0,T17+1)</f>
        <v>0</v>
      </c>
      <c r="V17" s="34" t="n">
        <f aca="false">IF(OR(ROSTER!X17="OFF",ROSTER!X17="AL",ROSTER!X17="SICK",ROSTER!X17="AVL",ROSTER!X17=""),0,U17+1)</f>
        <v>0</v>
      </c>
      <c r="W17" s="34" t="n">
        <f aca="false">IF(OR(ROSTER!Y17="OFF",ROSTER!Y17="AL",ROSTER!Y17="SICK",ROSTER!Y17="AVL",ROSTER!Y17=""),0,V17+1)</f>
        <v>0</v>
      </c>
      <c r="X17" s="34" t="n">
        <f aca="false">IF(OR(ROSTER!Z17="OFF",ROSTER!Z17="AL",ROSTER!Z17="SICK",ROSTER!Z17="AVL",ROSTER!Z17=""),0,W17+1)</f>
        <v>1</v>
      </c>
      <c r="Y17" s="34" t="n">
        <f aca="false">IF(OR(ROSTER!AA17="OFF",ROSTER!AA17="AL",ROSTER!AA17="SICK",ROSTER!AA17="AVL",ROSTER!AA17=""),0,X17+1)</f>
        <v>2</v>
      </c>
      <c r="Z17" s="34" t="n">
        <f aca="false">IF(OR(ROSTER!AB17="OFF",ROSTER!AB17="AL",ROSTER!AB17="SICK",ROSTER!AB17="AVL",ROSTER!AB17=""),0,Y17+1)</f>
        <v>0</v>
      </c>
      <c r="AA17" s="34" t="n">
        <f aca="false">IF(OR(ROSTER!AC17="OFF",ROSTER!AC17="AL",ROSTER!AC17="SICK",ROSTER!AC17="AVL",ROSTER!AC17=""),0,Z17+1)</f>
        <v>0</v>
      </c>
      <c r="AB17" s="34" t="n">
        <f aca="false">IF(OR(ROSTER!AD17="OFF",ROSTER!AD17="AL",ROSTER!AD17="SICK",ROSTER!AD17="AVL",ROSTER!AD17=""),0,AA17+1)</f>
        <v>1</v>
      </c>
      <c r="AC17" s="34" t="n">
        <f aca="false">IF(OR(ROSTER!AE17="OFF",ROSTER!AE17="AL",ROSTER!AE17="SICK",ROSTER!AE17="AVL",ROSTER!AE17=""),0,AB17+1)</f>
        <v>2</v>
      </c>
      <c r="AD17" s="34" t="n">
        <f aca="false">IF(OR(ROSTER!AF17="OFF",ROSTER!AF17="AL",ROSTER!AF17="SICK",ROSTER!AF17="AVL",ROSTER!AF17=""),0,AC17+1)</f>
        <v>3</v>
      </c>
      <c r="AE17" s="34" t="n">
        <f aca="false">MAX(C17:AD17)</f>
        <v>3</v>
      </c>
      <c r="AF17" s="34" t="str">
        <f aca="false">IF(AE17&gt;=CONFIG!$B$33,"🟣 BLOCK OT",IF(AE17&gt;=4,"⚠️ MONITOR","✅ OK"))</f>
        <v>✅ OK</v>
      </c>
      <c r="AG17" s="47" t="n">
        <f aca="false">ROSTER!AP17</f>
        <v>42.875</v>
      </c>
      <c r="AH17" s="47" t="str">
        <f aca="false">ROSTER!AQ17</f>
        <v>✅ OK</v>
      </c>
    </row>
    <row r="18" customFormat="false" ht="15" hidden="false" customHeight="true" outlineLevel="0" collapsed="false">
      <c r="A18" s="1" t="str">
        <f aca="false">ROSTER!A18</f>
        <v>Oliver Ross</v>
      </c>
      <c r="B18" s="1" t="str">
        <f aca="false">ROSTER!B18</f>
        <v>Night A</v>
      </c>
      <c r="C18" s="34" t="n">
        <f aca="false">IF(OR(ROSTER!E18="OFF",ROSTER!E18="AL",ROSTER!E18="SICK",ROSTER!E18="AVL",ROSTER!E18=""),0,1)</f>
        <v>1</v>
      </c>
      <c r="D18" s="34" t="n">
        <f aca="false">IF(OR(ROSTER!F18="OFF",ROSTER!F18="AL",ROSTER!F18="SICK",ROSTER!F18="AVL",ROSTER!F18=""),0,C18+1)</f>
        <v>2</v>
      </c>
      <c r="E18" s="34" t="n">
        <f aca="false">IF(OR(ROSTER!G18="OFF",ROSTER!G18="AL",ROSTER!G18="SICK",ROSTER!G18="AVL",ROSTER!G18=""),0,D18+1)</f>
        <v>0</v>
      </c>
      <c r="F18" s="34" t="n">
        <f aca="false">IF(OR(ROSTER!H18="OFF",ROSTER!H18="AL",ROSTER!H18="SICK",ROSTER!H18="AVL",ROSTER!H18=""),0,E18+1)</f>
        <v>0</v>
      </c>
      <c r="G18" s="34" t="n">
        <f aca="false">IF(OR(ROSTER!I18="OFF",ROSTER!I18="AL",ROSTER!I18="SICK",ROSTER!I18="AVL",ROSTER!I18=""),0,F18+1)</f>
        <v>1</v>
      </c>
      <c r="H18" s="34" t="n">
        <f aca="false">IF(OR(ROSTER!J18="OFF",ROSTER!J18="AL",ROSTER!J18="SICK",ROSTER!J18="AVL",ROSTER!J18=""),0,G18+1)</f>
        <v>2</v>
      </c>
      <c r="I18" s="34" t="n">
        <f aca="false">IF(OR(ROSTER!K18="OFF",ROSTER!K18="AL",ROSTER!K18="SICK",ROSTER!K18="AVL",ROSTER!K18=""),0,H18+1)</f>
        <v>3</v>
      </c>
      <c r="J18" s="34" t="n">
        <f aca="false">IF(OR(ROSTER!L18="OFF",ROSTER!L18="AL",ROSTER!L18="SICK",ROSTER!L18="AVL",ROSTER!L18=""),0,I18+1)</f>
        <v>0</v>
      </c>
      <c r="K18" s="34" t="n">
        <f aca="false">IF(OR(ROSTER!M18="OFF",ROSTER!M18="AL",ROSTER!M18="SICK",ROSTER!M18="AVL",ROSTER!M18=""),0,J18+1)</f>
        <v>0</v>
      </c>
      <c r="L18" s="34" t="n">
        <f aca="false">IF(OR(ROSTER!N18="OFF",ROSTER!N18="AL",ROSTER!N18="SICK",ROSTER!N18="AVL",ROSTER!N18=""),0,K18+1)</f>
        <v>1</v>
      </c>
      <c r="M18" s="34" t="n">
        <f aca="false">IF(OR(ROSTER!O18="OFF",ROSTER!O18="AL",ROSTER!O18="SICK",ROSTER!O18="AVL",ROSTER!O18=""),0,L18+1)</f>
        <v>2</v>
      </c>
      <c r="N18" s="34" t="n">
        <f aca="false">IF(OR(ROSTER!P18="OFF",ROSTER!P18="AL",ROSTER!P18="SICK",ROSTER!P18="AVL",ROSTER!P18=""),0,M18+1)</f>
        <v>0</v>
      </c>
      <c r="O18" s="34" t="n">
        <f aca="false">IF(OR(ROSTER!Q18="OFF",ROSTER!Q18="AL",ROSTER!Q18="SICK",ROSTER!Q18="AVL",ROSTER!Q18=""),0,N18+1)</f>
        <v>0</v>
      </c>
      <c r="P18" s="34" t="n">
        <f aca="false">IF(OR(ROSTER!R18="OFF",ROSTER!R18="AL",ROSTER!R18="SICK",ROSTER!R18="AVL",ROSTER!R18=""),0,O18+1)</f>
        <v>0</v>
      </c>
      <c r="Q18" s="34" t="n">
        <f aca="false">IF(OR(ROSTER!S18="OFF",ROSTER!S18="AL",ROSTER!S18="SICK",ROSTER!S18="AVL",ROSTER!S18=""),0,P18+1)</f>
        <v>1</v>
      </c>
      <c r="R18" s="34" t="n">
        <f aca="false">IF(OR(ROSTER!T18="OFF",ROSTER!T18="AL",ROSTER!T18="SICK",ROSTER!T18="AVL",ROSTER!T18=""),0,Q18+1)</f>
        <v>2</v>
      </c>
      <c r="S18" s="34" t="n">
        <f aca="false">IF(OR(ROSTER!U18="OFF",ROSTER!U18="AL",ROSTER!U18="SICK",ROSTER!U18="AVL",ROSTER!U18=""),0,R18+1)</f>
        <v>0</v>
      </c>
      <c r="T18" s="34" t="n">
        <f aca="false">IF(OR(ROSTER!V18="OFF",ROSTER!V18="AL",ROSTER!V18="SICK",ROSTER!V18="AVL",ROSTER!V18=""),0,S18+1)</f>
        <v>0</v>
      </c>
      <c r="U18" s="34" t="n">
        <f aca="false">IF(OR(ROSTER!W18="OFF",ROSTER!W18="AL",ROSTER!W18="SICK",ROSTER!W18="AVL",ROSTER!W18=""),0,T18+1)</f>
        <v>1</v>
      </c>
      <c r="V18" s="34" t="n">
        <f aca="false">IF(OR(ROSTER!X18="OFF",ROSTER!X18="AL",ROSTER!X18="SICK",ROSTER!X18="AVL",ROSTER!X18=""),0,U18+1)</f>
        <v>2</v>
      </c>
      <c r="W18" s="34" t="n">
        <f aca="false">IF(OR(ROSTER!Y18="OFF",ROSTER!Y18="AL",ROSTER!Y18="SICK",ROSTER!Y18="AVL",ROSTER!Y18=""),0,V18+1)</f>
        <v>3</v>
      </c>
      <c r="X18" s="34" t="n">
        <f aca="false">IF(OR(ROSTER!Z18="OFF",ROSTER!Z18="AL",ROSTER!Z18="SICK",ROSTER!Z18="AVL",ROSTER!Z18=""),0,W18+1)</f>
        <v>0</v>
      </c>
      <c r="Y18" s="34" t="n">
        <f aca="false">IF(OR(ROSTER!AA18="OFF",ROSTER!AA18="AL",ROSTER!AA18="SICK",ROSTER!AA18="AVL",ROSTER!AA18=""),0,X18+1)</f>
        <v>0</v>
      </c>
      <c r="Z18" s="34" t="n">
        <f aca="false">IF(OR(ROSTER!AB18="OFF",ROSTER!AB18="AL",ROSTER!AB18="SICK",ROSTER!AB18="AVL",ROSTER!AB18=""),0,Y18+1)</f>
        <v>1</v>
      </c>
      <c r="AA18" s="34" t="n">
        <f aca="false">IF(OR(ROSTER!AC18="OFF",ROSTER!AC18="AL",ROSTER!AC18="SICK",ROSTER!AC18="AVL",ROSTER!AC18=""),0,Z18+1)</f>
        <v>2</v>
      </c>
      <c r="AB18" s="34" t="n">
        <f aca="false">IF(OR(ROSTER!AD18="OFF",ROSTER!AD18="AL",ROSTER!AD18="SICK",ROSTER!AD18="AVL",ROSTER!AD18=""),0,AA18+1)</f>
        <v>0</v>
      </c>
      <c r="AC18" s="34" t="n">
        <f aca="false">IF(OR(ROSTER!AE18="OFF",ROSTER!AE18="AL",ROSTER!AE18="SICK",ROSTER!AE18="AVL",ROSTER!AE18=""),0,AB18+1)</f>
        <v>0</v>
      </c>
      <c r="AD18" s="34" t="n">
        <f aca="false">IF(OR(ROSTER!AF18="OFF",ROSTER!AF18="AL",ROSTER!AF18="SICK",ROSTER!AF18="AVL",ROSTER!AF18=""),0,AC18+1)</f>
        <v>0</v>
      </c>
      <c r="AE18" s="34" t="n">
        <f aca="false">MAX(C18:AD18)</f>
        <v>3</v>
      </c>
      <c r="AF18" s="34" t="str">
        <f aca="false">IF(AE18&gt;=CONFIG!$B$33,"🟣 BLOCK OT",IF(AE18&gt;=4,"⚠️ MONITOR","✅ OK"))</f>
        <v>✅ OK</v>
      </c>
      <c r="AG18" s="47" t="n">
        <f aca="false">ROSTER!AP18</f>
        <v>42.875</v>
      </c>
      <c r="AH18" s="47" t="str">
        <f aca="false">ROSTER!AQ18</f>
        <v>✅ OK</v>
      </c>
    </row>
    <row r="19" customFormat="false" ht="15" hidden="false" customHeight="true" outlineLevel="0" collapsed="false">
      <c r="A19" s="1" t="str">
        <f aca="false">ROSTER!A19</f>
        <v>Paula Young</v>
      </c>
      <c r="B19" s="1" t="str">
        <f aca="false">ROSTER!B19</f>
        <v>Night A</v>
      </c>
      <c r="C19" s="34" t="n">
        <f aca="false">IF(OR(ROSTER!E19="OFF",ROSTER!E19="AL",ROSTER!E19="SICK",ROSTER!E19="AVL",ROSTER!E19=""),0,1)</f>
        <v>1</v>
      </c>
      <c r="D19" s="34" t="n">
        <f aca="false">IF(OR(ROSTER!F19="OFF",ROSTER!F19="AL",ROSTER!F19="SICK",ROSTER!F19="AVL",ROSTER!F19=""),0,C19+1)</f>
        <v>2</v>
      </c>
      <c r="E19" s="34" t="n">
        <f aca="false">IF(OR(ROSTER!G19="OFF",ROSTER!G19="AL",ROSTER!G19="SICK",ROSTER!G19="AVL",ROSTER!G19=""),0,D19+1)</f>
        <v>0</v>
      </c>
      <c r="F19" s="34" t="n">
        <f aca="false">IF(OR(ROSTER!H19="OFF",ROSTER!H19="AL",ROSTER!H19="SICK",ROSTER!H19="AVL",ROSTER!H19=""),0,E19+1)</f>
        <v>0</v>
      </c>
      <c r="G19" s="34" t="n">
        <f aca="false">IF(OR(ROSTER!I19="OFF",ROSTER!I19="AL",ROSTER!I19="SICK",ROSTER!I19="AVL",ROSTER!I19=""),0,F19+1)</f>
        <v>1</v>
      </c>
      <c r="H19" s="34" t="n">
        <f aca="false">IF(OR(ROSTER!J19="OFF",ROSTER!J19="AL",ROSTER!J19="SICK",ROSTER!J19="AVL",ROSTER!J19=""),0,G19+1)</f>
        <v>2</v>
      </c>
      <c r="I19" s="34" t="n">
        <f aca="false">IF(OR(ROSTER!K19="OFF",ROSTER!K19="AL",ROSTER!K19="SICK",ROSTER!K19="AVL",ROSTER!K19=""),0,H19+1)</f>
        <v>3</v>
      </c>
      <c r="J19" s="34" t="n">
        <f aca="false">IF(OR(ROSTER!L19="OFF",ROSTER!L19="AL",ROSTER!L19="SICK",ROSTER!L19="AVL",ROSTER!L19=""),0,I19+1)</f>
        <v>0</v>
      </c>
      <c r="K19" s="34" t="n">
        <f aca="false">IF(OR(ROSTER!M19="OFF",ROSTER!M19="AL",ROSTER!M19="SICK",ROSTER!M19="AVL",ROSTER!M19=""),0,J19+1)</f>
        <v>0</v>
      </c>
      <c r="L19" s="34" t="n">
        <f aca="false">IF(OR(ROSTER!N19="OFF",ROSTER!N19="AL",ROSTER!N19="SICK",ROSTER!N19="AVL",ROSTER!N19=""),0,K19+1)</f>
        <v>1</v>
      </c>
      <c r="M19" s="34" t="n">
        <f aca="false">IF(OR(ROSTER!O19="OFF",ROSTER!O19="AL",ROSTER!O19="SICK",ROSTER!O19="AVL",ROSTER!O19=""),0,L19+1)</f>
        <v>2</v>
      </c>
      <c r="N19" s="34" t="n">
        <f aca="false">IF(OR(ROSTER!P19="OFF",ROSTER!P19="AL",ROSTER!P19="SICK",ROSTER!P19="AVL",ROSTER!P19=""),0,M19+1)</f>
        <v>0</v>
      </c>
      <c r="O19" s="34" t="n">
        <f aca="false">IF(OR(ROSTER!Q19="OFF",ROSTER!Q19="AL",ROSTER!Q19="SICK",ROSTER!Q19="AVL",ROSTER!Q19=""),0,N19+1)</f>
        <v>0</v>
      </c>
      <c r="P19" s="34" t="n">
        <f aca="false">IF(OR(ROSTER!R19="OFF",ROSTER!R19="AL",ROSTER!R19="SICK",ROSTER!R19="AVL",ROSTER!R19=""),0,O19+1)</f>
        <v>0</v>
      </c>
      <c r="Q19" s="34" t="n">
        <f aca="false">IF(OR(ROSTER!S19="OFF",ROSTER!S19="AL",ROSTER!S19="SICK",ROSTER!S19="AVL",ROSTER!S19=""),0,P19+1)</f>
        <v>1</v>
      </c>
      <c r="R19" s="34" t="n">
        <f aca="false">IF(OR(ROSTER!T19="OFF",ROSTER!T19="AL",ROSTER!T19="SICK",ROSTER!T19="AVL",ROSTER!T19=""),0,Q19+1)</f>
        <v>2</v>
      </c>
      <c r="S19" s="34" t="n">
        <f aca="false">IF(OR(ROSTER!U19="OFF",ROSTER!U19="AL",ROSTER!U19="SICK",ROSTER!U19="AVL",ROSTER!U19=""),0,R19+1)</f>
        <v>0</v>
      </c>
      <c r="T19" s="34" t="n">
        <f aca="false">IF(OR(ROSTER!V19="OFF",ROSTER!V19="AL",ROSTER!V19="SICK",ROSTER!V19="AVL",ROSTER!V19=""),0,S19+1)</f>
        <v>0</v>
      </c>
      <c r="U19" s="34" t="n">
        <f aca="false">IF(OR(ROSTER!W19="OFF",ROSTER!W19="AL",ROSTER!W19="SICK",ROSTER!W19="AVL",ROSTER!W19=""),0,T19+1)</f>
        <v>1</v>
      </c>
      <c r="V19" s="34" t="n">
        <f aca="false">IF(OR(ROSTER!X19="OFF",ROSTER!X19="AL",ROSTER!X19="SICK",ROSTER!X19="AVL",ROSTER!X19=""),0,U19+1)</f>
        <v>2</v>
      </c>
      <c r="W19" s="34" t="n">
        <f aca="false">IF(OR(ROSTER!Y19="OFF",ROSTER!Y19="AL",ROSTER!Y19="SICK",ROSTER!Y19="AVL",ROSTER!Y19=""),0,V19+1)</f>
        <v>3</v>
      </c>
      <c r="X19" s="34" t="n">
        <f aca="false">IF(OR(ROSTER!Z19="OFF",ROSTER!Z19="AL",ROSTER!Z19="SICK",ROSTER!Z19="AVL",ROSTER!Z19=""),0,W19+1)</f>
        <v>0</v>
      </c>
      <c r="Y19" s="34" t="n">
        <f aca="false">IF(OR(ROSTER!AA19="OFF",ROSTER!AA19="AL",ROSTER!AA19="SICK",ROSTER!AA19="AVL",ROSTER!AA19=""),0,X19+1)</f>
        <v>0</v>
      </c>
      <c r="Z19" s="34" t="n">
        <f aca="false">IF(OR(ROSTER!AB19="OFF",ROSTER!AB19="AL",ROSTER!AB19="SICK",ROSTER!AB19="AVL",ROSTER!AB19=""),0,Y19+1)</f>
        <v>1</v>
      </c>
      <c r="AA19" s="34" t="n">
        <f aca="false">IF(OR(ROSTER!AC19="OFF",ROSTER!AC19="AL",ROSTER!AC19="SICK",ROSTER!AC19="AVL",ROSTER!AC19=""),0,Z19+1)</f>
        <v>2</v>
      </c>
      <c r="AB19" s="34" t="n">
        <f aca="false">IF(OR(ROSTER!AD19="OFF",ROSTER!AD19="AL",ROSTER!AD19="SICK",ROSTER!AD19="AVL",ROSTER!AD19=""),0,AA19+1)</f>
        <v>0</v>
      </c>
      <c r="AC19" s="34" t="n">
        <f aca="false">IF(OR(ROSTER!AE19="OFF",ROSTER!AE19="AL",ROSTER!AE19="SICK",ROSTER!AE19="AVL",ROSTER!AE19=""),0,AB19+1)</f>
        <v>0</v>
      </c>
      <c r="AD19" s="34" t="n">
        <f aca="false">IF(OR(ROSTER!AF19="OFF",ROSTER!AF19="AL",ROSTER!AF19="SICK",ROSTER!AF19="AVL",ROSTER!AF19=""),0,AC19+1)</f>
        <v>0</v>
      </c>
      <c r="AE19" s="34" t="n">
        <f aca="false">MAX(C19:AD19)</f>
        <v>3</v>
      </c>
      <c r="AF19" s="34" t="str">
        <f aca="false">IF(AE19&gt;=CONFIG!$B$33,"🟣 BLOCK OT",IF(AE19&gt;=4,"⚠️ MONITOR","✅ OK"))</f>
        <v>✅ OK</v>
      </c>
      <c r="AG19" s="47" t="n">
        <f aca="false">ROSTER!AP19</f>
        <v>42.875</v>
      </c>
      <c r="AH19" s="47" t="str">
        <f aca="false">ROSTER!AQ19</f>
        <v>✅ OK</v>
      </c>
    </row>
    <row r="20" customFormat="false" ht="15" hidden="false" customHeight="true" outlineLevel="0" collapsed="false">
      <c r="A20" s="1" t="str">
        <f aca="false">ROSTER!A20</f>
        <v>Quentin Fox</v>
      </c>
      <c r="B20" s="1" t="str">
        <f aca="false">ROSTER!B20</f>
        <v>Night A</v>
      </c>
      <c r="C20" s="34" t="n">
        <f aca="false">IF(OR(ROSTER!E20="OFF",ROSTER!E20="AL",ROSTER!E20="SICK",ROSTER!E20="AVL",ROSTER!E20=""),0,1)</f>
        <v>1</v>
      </c>
      <c r="D20" s="34" t="n">
        <f aca="false">IF(OR(ROSTER!F20="OFF",ROSTER!F20="AL",ROSTER!F20="SICK",ROSTER!F20="AVL",ROSTER!F20=""),0,C20+1)</f>
        <v>2</v>
      </c>
      <c r="E20" s="34" t="n">
        <f aca="false">IF(OR(ROSTER!G20="OFF",ROSTER!G20="AL",ROSTER!G20="SICK",ROSTER!G20="AVL",ROSTER!G20=""),0,D20+1)</f>
        <v>0</v>
      </c>
      <c r="F20" s="34" t="n">
        <f aca="false">IF(OR(ROSTER!H20="OFF",ROSTER!H20="AL",ROSTER!H20="SICK",ROSTER!H20="AVL",ROSTER!H20=""),0,E20+1)</f>
        <v>0</v>
      </c>
      <c r="G20" s="34" t="n">
        <f aca="false">IF(OR(ROSTER!I20="OFF",ROSTER!I20="AL",ROSTER!I20="SICK",ROSTER!I20="AVL",ROSTER!I20=""),0,F20+1)</f>
        <v>1</v>
      </c>
      <c r="H20" s="34" t="n">
        <f aca="false">IF(OR(ROSTER!J20="OFF",ROSTER!J20="AL",ROSTER!J20="SICK",ROSTER!J20="AVL",ROSTER!J20=""),0,G20+1)</f>
        <v>2</v>
      </c>
      <c r="I20" s="34" t="n">
        <f aca="false">IF(OR(ROSTER!K20="OFF",ROSTER!K20="AL",ROSTER!K20="SICK",ROSTER!K20="AVL",ROSTER!K20=""),0,H20+1)</f>
        <v>3</v>
      </c>
      <c r="J20" s="34" t="n">
        <f aca="false">IF(OR(ROSTER!L20="OFF",ROSTER!L20="AL",ROSTER!L20="SICK",ROSTER!L20="AVL",ROSTER!L20=""),0,I20+1)</f>
        <v>0</v>
      </c>
      <c r="K20" s="34" t="n">
        <f aca="false">IF(OR(ROSTER!M20="OFF",ROSTER!M20="AL",ROSTER!M20="SICK",ROSTER!M20="AVL",ROSTER!M20=""),0,J20+1)</f>
        <v>0</v>
      </c>
      <c r="L20" s="34" t="n">
        <f aca="false">IF(OR(ROSTER!N20="OFF",ROSTER!N20="AL",ROSTER!N20="SICK",ROSTER!N20="AVL",ROSTER!N20=""),0,K20+1)</f>
        <v>1</v>
      </c>
      <c r="M20" s="34" t="n">
        <f aca="false">IF(OR(ROSTER!O20="OFF",ROSTER!O20="AL",ROSTER!O20="SICK",ROSTER!O20="AVL",ROSTER!O20=""),0,L20+1)</f>
        <v>2</v>
      </c>
      <c r="N20" s="34" t="n">
        <f aca="false">IF(OR(ROSTER!P20="OFF",ROSTER!P20="AL",ROSTER!P20="SICK",ROSTER!P20="AVL",ROSTER!P20=""),0,M20+1)</f>
        <v>0</v>
      </c>
      <c r="O20" s="34" t="n">
        <f aca="false">IF(OR(ROSTER!Q20="OFF",ROSTER!Q20="AL",ROSTER!Q20="SICK",ROSTER!Q20="AVL",ROSTER!Q20=""),0,N20+1)</f>
        <v>0</v>
      </c>
      <c r="P20" s="34" t="n">
        <f aca="false">IF(OR(ROSTER!R20="OFF",ROSTER!R20="AL",ROSTER!R20="SICK",ROSTER!R20="AVL",ROSTER!R20=""),0,O20+1)</f>
        <v>0</v>
      </c>
      <c r="Q20" s="34" t="n">
        <f aca="false">IF(OR(ROSTER!S20="OFF",ROSTER!S20="AL",ROSTER!S20="SICK",ROSTER!S20="AVL",ROSTER!S20=""),0,P20+1)</f>
        <v>1</v>
      </c>
      <c r="R20" s="34" t="n">
        <f aca="false">IF(OR(ROSTER!T20="OFF",ROSTER!T20="AL",ROSTER!T20="SICK",ROSTER!T20="AVL",ROSTER!T20=""),0,Q20+1)</f>
        <v>2</v>
      </c>
      <c r="S20" s="34" t="n">
        <f aca="false">IF(OR(ROSTER!U20="OFF",ROSTER!U20="AL",ROSTER!U20="SICK",ROSTER!U20="AVL",ROSTER!U20=""),0,R20+1)</f>
        <v>0</v>
      </c>
      <c r="T20" s="34" t="n">
        <f aca="false">IF(OR(ROSTER!V20="OFF",ROSTER!V20="AL",ROSTER!V20="SICK",ROSTER!V20="AVL",ROSTER!V20=""),0,S20+1)</f>
        <v>0</v>
      </c>
      <c r="U20" s="34" t="n">
        <f aca="false">IF(OR(ROSTER!W20="OFF",ROSTER!W20="AL",ROSTER!W20="SICK",ROSTER!W20="AVL",ROSTER!W20=""),0,T20+1)</f>
        <v>1</v>
      </c>
      <c r="V20" s="34" t="n">
        <f aca="false">IF(OR(ROSTER!X20="OFF",ROSTER!X20="AL",ROSTER!X20="SICK",ROSTER!X20="AVL",ROSTER!X20=""),0,U20+1)</f>
        <v>2</v>
      </c>
      <c r="W20" s="34" t="n">
        <f aca="false">IF(OR(ROSTER!Y20="OFF",ROSTER!Y20="AL",ROSTER!Y20="SICK",ROSTER!Y20="AVL",ROSTER!Y20=""),0,V20+1)</f>
        <v>3</v>
      </c>
      <c r="X20" s="34" t="n">
        <f aca="false">IF(OR(ROSTER!Z20="OFF",ROSTER!Z20="AL",ROSTER!Z20="SICK",ROSTER!Z20="AVL",ROSTER!Z20=""),0,W20+1)</f>
        <v>0</v>
      </c>
      <c r="Y20" s="34" t="n">
        <f aca="false">IF(OR(ROSTER!AA20="OFF",ROSTER!AA20="AL",ROSTER!AA20="SICK",ROSTER!AA20="AVL",ROSTER!AA20=""),0,X20+1)</f>
        <v>0</v>
      </c>
      <c r="Z20" s="34" t="n">
        <f aca="false">IF(OR(ROSTER!AB20="OFF",ROSTER!AB20="AL",ROSTER!AB20="SICK",ROSTER!AB20="AVL",ROSTER!AB20=""),0,Y20+1)</f>
        <v>1</v>
      </c>
      <c r="AA20" s="34" t="n">
        <f aca="false">IF(OR(ROSTER!AC20="OFF",ROSTER!AC20="AL",ROSTER!AC20="SICK",ROSTER!AC20="AVL",ROSTER!AC20=""),0,Z20+1)</f>
        <v>2</v>
      </c>
      <c r="AB20" s="34" t="n">
        <f aca="false">IF(OR(ROSTER!AD20="OFF",ROSTER!AD20="AL",ROSTER!AD20="SICK",ROSTER!AD20="AVL",ROSTER!AD20=""),0,AA20+1)</f>
        <v>0</v>
      </c>
      <c r="AC20" s="34" t="n">
        <f aca="false">IF(OR(ROSTER!AE20="OFF",ROSTER!AE20="AL",ROSTER!AE20="SICK",ROSTER!AE20="AVL",ROSTER!AE20=""),0,AB20+1)</f>
        <v>0</v>
      </c>
      <c r="AD20" s="34" t="n">
        <f aca="false">IF(OR(ROSTER!AF20="OFF",ROSTER!AF20="AL",ROSTER!AF20="SICK",ROSTER!AF20="AVL",ROSTER!AF20=""),0,AC20+1)</f>
        <v>0</v>
      </c>
      <c r="AE20" s="34" t="n">
        <f aca="false">MAX(C20:AD20)</f>
        <v>3</v>
      </c>
      <c r="AF20" s="34" t="str">
        <f aca="false">IF(AE20&gt;=CONFIG!$B$33,"🟣 BLOCK OT",IF(AE20&gt;=4,"⚠️ MONITOR","✅ OK"))</f>
        <v>✅ OK</v>
      </c>
      <c r="AG20" s="47" t="n">
        <f aca="false">ROSTER!AP20</f>
        <v>42.875</v>
      </c>
      <c r="AH20" s="47" t="str">
        <f aca="false">ROSTER!AQ20</f>
        <v>✅ OK</v>
      </c>
    </row>
    <row r="21" customFormat="false" ht="15" hidden="false" customHeight="true" outlineLevel="0" collapsed="false">
      <c r="A21" s="1" t="str">
        <f aca="false">ROSTER!A21</f>
        <v>Rachel Green</v>
      </c>
      <c r="B21" s="1" t="str">
        <f aca="false">ROSTER!B21</f>
        <v>Night B</v>
      </c>
      <c r="C21" s="34" t="n">
        <f aca="false">IF(OR(ROSTER!E21="OFF",ROSTER!E21="AL",ROSTER!E21="SICK",ROSTER!E21="AVL",ROSTER!E21=""),0,1)</f>
        <v>0</v>
      </c>
      <c r="D21" s="34" t="n">
        <f aca="false">IF(OR(ROSTER!F21="OFF",ROSTER!F21="AL",ROSTER!F21="SICK",ROSTER!F21="AVL",ROSTER!F21=""),0,C21+1)</f>
        <v>0</v>
      </c>
      <c r="E21" s="34" t="n">
        <f aca="false">IF(OR(ROSTER!G21="OFF",ROSTER!G21="AL",ROSTER!G21="SICK",ROSTER!G21="AVL",ROSTER!G21=""),0,D21+1)</f>
        <v>1</v>
      </c>
      <c r="F21" s="34" t="n">
        <f aca="false">IF(OR(ROSTER!H21="OFF",ROSTER!H21="AL",ROSTER!H21="SICK",ROSTER!H21="AVL",ROSTER!H21=""),0,E21+1)</f>
        <v>2</v>
      </c>
      <c r="G21" s="34" t="n">
        <f aca="false">IF(OR(ROSTER!I21="OFF",ROSTER!I21="AL",ROSTER!I21="SICK",ROSTER!I21="AVL",ROSTER!I21=""),0,F21+1)</f>
        <v>0</v>
      </c>
      <c r="H21" s="34" t="n">
        <f aca="false">IF(OR(ROSTER!J21="OFF",ROSTER!J21="AL",ROSTER!J21="SICK",ROSTER!J21="AVL",ROSTER!J21=""),0,G21+1)</f>
        <v>0</v>
      </c>
      <c r="I21" s="34" t="n">
        <f aca="false">IF(OR(ROSTER!K21="OFF",ROSTER!K21="AL",ROSTER!K21="SICK",ROSTER!K21="AVL",ROSTER!K21=""),0,H21+1)</f>
        <v>0</v>
      </c>
      <c r="J21" s="34" t="n">
        <f aca="false">IF(OR(ROSTER!L21="OFF",ROSTER!L21="AL",ROSTER!L21="SICK",ROSTER!L21="AVL",ROSTER!L21=""),0,I21+1)</f>
        <v>1</v>
      </c>
      <c r="K21" s="34" t="n">
        <f aca="false">IF(OR(ROSTER!M21="OFF",ROSTER!M21="AL",ROSTER!M21="SICK",ROSTER!M21="AVL",ROSTER!M21=""),0,J21+1)</f>
        <v>2</v>
      </c>
      <c r="L21" s="34" t="n">
        <f aca="false">IF(OR(ROSTER!N21="OFF",ROSTER!N21="AL",ROSTER!N21="SICK",ROSTER!N21="AVL",ROSTER!N21=""),0,K21+1)</f>
        <v>0</v>
      </c>
      <c r="M21" s="34" t="n">
        <f aca="false">IF(OR(ROSTER!O21="OFF",ROSTER!O21="AL",ROSTER!O21="SICK",ROSTER!O21="AVL",ROSTER!O21=""),0,L21+1)</f>
        <v>0</v>
      </c>
      <c r="N21" s="34" t="n">
        <f aca="false">IF(OR(ROSTER!P21="OFF",ROSTER!P21="AL",ROSTER!P21="SICK",ROSTER!P21="AVL",ROSTER!P21=""),0,M21+1)</f>
        <v>1</v>
      </c>
      <c r="O21" s="34" t="n">
        <f aca="false">IF(OR(ROSTER!Q21="OFF",ROSTER!Q21="AL",ROSTER!Q21="SICK",ROSTER!Q21="AVL",ROSTER!Q21=""),0,N21+1)</f>
        <v>2</v>
      </c>
      <c r="P21" s="34" t="n">
        <f aca="false">IF(OR(ROSTER!R21="OFF",ROSTER!R21="AL",ROSTER!R21="SICK",ROSTER!R21="AVL",ROSTER!R21=""),0,O21+1)</f>
        <v>3</v>
      </c>
      <c r="Q21" s="34" t="n">
        <f aca="false">IF(OR(ROSTER!S21="OFF",ROSTER!S21="AL",ROSTER!S21="SICK",ROSTER!S21="AVL",ROSTER!S21=""),0,P21+1)</f>
        <v>0</v>
      </c>
      <c r="R21" s="34" t="n">
        <f aca="false">IF(OR(ROSTER!T21="OFF",ROSTER!T21="AL",ROSTER!T21="SICK",ROSTER!T21="AVL",ROSTER!T21=""),0,Q21+1)</f>
        <v>0</v>
      </c>
      <c r="S21" s="34" t="n">
        <f aca="false">IF(OR(ROSTER!U21="OFF",ROSTER!U21="AL",ROSTER!U21="SICK",ROSTER!U21="AVL",ROSTER!U21=""),0,R21+1)</f>
        <v>1</v>
      </c>
      <c r="T21" s="34" t="n">
        <f aca="false">IF(OR(ROSTER!V21="OFF",ROSTER!V21="AL",ROSTER!V21="SICK",ROSTER!V21="AVL",ROSTER!V21=""),0,S21+1)</f>
        <v>2</v>
      </c>
      <c r="U21" s="34" t="n">
        <f aca="false">IF(OR(ROSTER!W21="OFF",ROSTER!W21="AL",ROSTER!W21="SICK",ROSTER!W21="AVL",ROSTER!W21=""),0,T21+1)</f>
        <v>0</v>
      </c>
      <c r="V21" s="34" t="n">
        <f aca="false">IF(OR(ROSTER!X21="OFF",ROSTER!X21="AL",ROSTER!X21="SICK",ROSTER!X21="AVL",ROSTER!X21=""),0,U21+1)</f>
        <v>0</v>
      </c>
      <c r="W21" s="34" t="n">
        <f aca="false">IF(OR(ROSTER!Y21="OFF",ROSTER!Y21="AL",ROSTER!Y21="SICK",ROSTER!Y21="AVL",ROSTER!Y21=""),0,V21+1)</f>
        <v>0</v>
      </c>
      <c r="X21" s="34" t="n">
        <f aca="false">IF(OR(ROSTER!Z21="OFF",ROSTER!Z21="AL",ROSTER!Z21="SICK",ROSTER!Z21="AVL",ROSTER!Z21=""),0,W21+1)</f>
        <v>1</v>
      </c>
      <c r="Y21" s="34" t="n">
        <f aca="false">IF(OR(ROSTER!AA21="OFF",ROSTER!AA21="AL",ROSTER!AA21="SICK",ROSTER!AA21="AVL",ROSTER!AA21=""),0,X21+1)</f>
        <v>2</v>
      </c>
      <c r="Z21" s="34" t="n">
        <f aca="false">IF(OR(ROSTER!AB21="OFF",ROSTER!AB21="AL",ROSTER!AB21="SICK",ROSTER!AB21="AVL",ROSTER!AB21=""),0,Y21+1)</f>
        <v>0</v>
      </c>
      <c r="AA21" s="34" t="n">
        <f aca="false">IF(OR(ROSTER!AC21="OFF",ROSTER!AC21="AL",ROSTER!AC21="SICK",ROSTER!AC21="AVL",ROSTER!AC21=""),0,Z21+1)</f>
        <v>0</v>
      </c>
      <c r="AB21" s="34" t="n">
        <f aca="false">IF(OR(ROSTER!AD21="OFF",ROSTER!AD21="AL",ROSTER!AD21="SICK",ROSTER!AD21="AVL",ROSTER!AD21=""),0,AA21+1)</f>
        <v>1</v>
      </c>
      <c r="AC21" s="34" t="n">
        <f aca="false">IF(OR(ROSTER!AE21="OFF",ROSTER!AE21="AL",ROSTER!AE21="SICK",ROSTER!AE21="AVL",ROSTER!AE21=""),0,AB21+1)</f>
        <v>2</v>
      </c>
      <c r="AD21" s="34" t="n">
        <f aca="false">IF(OR(ROSTER!AF21="OFF",ROSTER!AF21="AL",ROSTER!AF21="SICK",ROSTER!AF21="AVL",ROSTER!AF21=""),0,AC21+1)</f>
        <v>3</v>
      </c>
      <c r="AE21" s="34" t="n">
        <f aca="false">MAX(C21:AD21)</f>
        <v>3</v>
      </c>
      <c r="AF21" s="34" t="str">
        <f aca="false">IF(AE21&gt;=CONFIG!$B$33,"🟣 BLOCK OT",IF(AE21&gt;=4,"⚠️ MONITOR","✅ OK"))</f>
        <v>✅ OK</v>
      </c>
      <c r="AG21" s="47" t="n">
        <f aca="false">ROSTER!AP21</f>
        <v>42.875</v>
      </c>
      <c r="AH21" s="47" t="str">
        <f aca="false">ROSTER!AQ21</f>
        <v>✅ OK</v>
      </c>
    </row>
    <row r="22" customFormat="false" ht="15" hidden="false" customHeight="true" outlineLevel="0" collapsed="false">
      <c r="A22" s="1" t="str">
        <f aca="false">ROSTER!A22</f>
        <v>Steve Black</v>
      </c>
      <c r="B22" s="1" t="str">
        <f aca="false">ROSTER!B22</f>
        <v>Night B</v>
      </c>
      <c r="C22" s="34" t="n">
        <f aca="false">IF(OR(ROSTER!E22="OFF",ROSTER!E22="AL",ROSTER!E22="SICK",ROSTER!E22="AVL",ROSTER!E22=""),0,1)</f>
        <v>0</v>
      </c>
      <c r="D22" s="34" t="n">
        <f aca="false">IF(OR(ROSTER!F22="OFF",ROSTER!F22="AL",ROSTER!F22="SICK",ROSTER!F22="AVL",ROSTER!F22=""),0,C22+1)</f>
        <v>0</v>
      </c>
      <c r="E22" s="34" t="n">
        <f aca="false">IF(OR(ROSTER!G22="OFF",ROSTER!G22="AL",ROSTER!G22="SICK",ROSTER!G22="AVL",ROSTER!G22=""),0,D22+1)</f>
        <v>1</v>
      </c>
      <c r="F22" s="34" t="n">
        <f aca="false">IF(OR(ROSTER!H22="OFF",ROSTER!H22="AL",ROSTER!H22="SICK",ROSTER!H22="AVL",ROSTER!H22=""),0,E22+1)</f>
        <v>2</v>
      </c>
      <c r="G22" s="34" t="n">
        <f aca="false">IF(OR(ROSTER!I22="OFF",ROSTER!I22="AL",ROSTER!I22="SICK",ROSTER!I22="AVL",ROSTER!I22=""),0,F22+1)</f>
        <v>0</v>
      </c>
      <c r="H22" s="34" t="n">
        <f aca="false">IF(OR(ROSTER!J22="OFF",ROSTER!J22="AL",ROSTER!J22="SICK",ROSTER!J22="AVL",ROSTER!J22=""),0,G22+1)</f>
        <v>0</v>
      </c>
      <c r="I22" s="34" t="n">
        <f aca="false">IF(OR(ROSTER!K22="OFF",ROSTER!K22="AL",ROSTER!K22="SICK",ROSTER!K22="AVL",ROSTER!K22=""),0,H22+1)</f>
        <v>0</v>
      </c>
      <c r="J22" s="34" t="n">
        <f aca="false">IF(OR(ROSTER!L22="OFF",ROSTER!L22="AL",ROSTER!L22="SICK",ROSTER!L22="AVL",ROSTER!L22=""),0,I22+1)</f>
        <v>1</v>
      </c>
      <c r="K22" s="34" t="n">
        <f aca="false">IF(OR(ROSTER!M22="OFF",ROSTER!M22="AL",ROSTER!M22="SICK",ROSTER!M22="AVL",ROSTER!M22=""),0,J22+1)</f>
        <v>2</v>
      </c>
      <c r="L22" s="34" t="n">
        <f aca="false">IF(OR(ROSTER!N22="OFF",ROSTER!N22="AL",ROSTER!N22="SICK",ROSTER!N22="AVL",ROSTER!N22=""),0,K22+1)</f>
        <v>0</v>
      </c>
      <c r="M22" s="34" t="n">
        <f aca="false">IF(OR(ROSTER!O22="OFF",ROSTER!O22="AL",ROSTER!O22="SICK",ROSTER!O22="AVL",ROSTER!O22=""),0,L22+1)</f>
        <v>0</v>
      </c>
      <c r="N22" s="34" t="n">
        <f aca="false">IF(OR(ROSTER!P22="OFF",ROSTER!P22="AL",ROSTER!P22="SICK",ROSTER!P22="AVL",ROSTER!P22=""),0,M22+1)</f>
        <v>1</v>
      </c>
      <c r="O22" s="34" t="n">
        <f aca="false">IF(OR(ROSTER!Q22="OFF",ROSTER!Q22="AL",ROSTER!Q22="SICK",ROSTER!Q22="AVL",ROSTER!Q22=""),0,N22+1)</f>
        <v>2</v>
      </c>
      <c r="P22" s="34" t="n">
        <f aca="false">IF(OR(ROSTER!R22="OFF",ROSTER!R22="AL",ROSTER!R22="SICK",ROSTER!R22="AVL",ROSTER!R22=""),0,O22+1)</f>
        <v>3</v>
      </c>
      <c r="Q22" s="34" t="n">
        <f aca="false">IF(OR(ROSTER!S22="OFF",ROSTER!S22="AL",ROSTER!S22="SICK",ROSTER!S22="AVL",ROSTER!S22=""),0,P22+1)</f>
        <v>0</v>
      </c>
      <c r="R22" s="34" t="n">
        <f aca="false">IF(OR(ROSTER!T22="OFF",ROSTER!T22="AL",ROSTER!T22="SICK",ROSTER!T22="AVL",ROSTER!T22=""),0,Q22+1)</f>
        <v>0</v>
      </c>
      <c r="S22" s="34" t="n">
        <f aca="false">IF(OR(ROSTER!U22="OFF",ROSTER!U22="AL",ROSTER!U22="SICK",ROSTER!U22="AVL",ROSTER!U22=""),0,R22+1)</f>
        <v>1</v>
      </c>
      <c r="T22" s="34" t="n">
        <f aca="false">IF(OR(ROSTER!V22="OFF",ROSTER!V22="AL",ROSTER!V22="SICK",ROSTER!V22="AVL",ROSTER!V22=""),0,S22+1)</f>
        <v>2</v>
      </c>
      <c r="U22" s="34" t="n">
        <f aca="false">IF(OR(ROSTER!W22="OFF",ROSTER!W22="AL",ROSTER!W22="SICK",ROSTER!W22="AVL",ROSTER!W22=""),0,T22+1)</f>
        <v>0</v>
      </c>
      <c r="V22" s="34" t="n">
        <f aca="false">IF(OR(ROSTER!X22="OFF",ROSTER!X22="AL",ROSTER!X22="SICK",ROSTER!X22="AVL",ROSTER!X22=""),0,U22+1)</f>
        <v>0</v>
      </c>
      <c r="W22" s="34" t="n">
        <f aca="false">IF(OR(ROSTER!Y22="OFF",ROSTER!Y22="AL",ROSTER!Y22="SICK",ROSTER!Y22="AVL",ROSTER!Y22=""),0,V22+1)</f>
        <v>0</v>
      </c>
      <c r="X22" s="34" t="n">
        <f aca="false">IF(OR(ROSTER!Z22="OFF",ROSTER!Z22="AL",ROSTER!Z22="SICK",ROSTER!Z22="AVL",ROSTER!Z22=""),0,W22+1)</f>
        <v>1</v>
      </c>
      <c r="Y22" s="34" t="n">
        <f aca="false">IF(OR(ROSTER!AA22="OFF",ROSTER!AA22="AL",ROSTER!AA22="SICK",ROSTER!AA22="AVL",ROSTER!AA22=""),0,X22+1)</f>
        <v>2</v>
      </c>
      <c r="Z22" s="34" t="n">
        <f aca="false">IF(OR(ROSTER!AB22="OFF",ROSTER!AB22="AL",ROSTER!AB22="SICK",ROSTER!AB22="AVL",ROSTER!AB22=""),0,Y22+1)</f>
        <v>0</v>
      </c>
      <c r="AA22" s="34" t="n">
        <f aca="false">IF(OR(ROSTER!AC22="OFF",ROSTER!AC22="AL",ROSTER!AC22="SICK",ROSTER!AC22="AVL",ROSTER!AC22=""),0,Z22+1)</f>
        <v>0</v>
      </c>
      <c r="AB22" s="34" t="n">
        <f aca="false">IF(OR(ROSTER!AD22="OFF",ROSTER!AD22="AL",ROSTER!AD22="SICK",ROSTER!AD22="AVL",ROSTER!AD22=""),0,AA22+1)</f>
        <v>1</v>
      </c>
      <c r="AC22" s="34" t="n">
        <f aca="false">IF(OR(ROSTER!AE22="OFF",ROSTER!AE22="AL",ROSTER!AE22="SICK",ROSTER!AE22="AVL",ROSTER!AE22=""),0,AB22+1)</f>
        <v>2</v>
      </c>
      <c r="AD22" s="34" t="n">
        <f aca="false">IF(OR(ROSTER!AF22="OFF",ROSTER!AF22="AL",ROSTER!AF22="SICK",ROSTER!AF22="AVL",ROSTER!AF22=""),0,AC22+1)</f>
        <v>3</v>
      </c>
      <c r="AE22" s="34" t="n">
        <f aca="false">MAX(C22:AD22)</f>
        <v>3</v>
      </c>
      <c r="AF22" s="34" t="str">
        <f aca="false">IF(AE22&gt;=CONFIG!$B$33,"🟣 BLOCK OT",IF(AE22&gt;=4,"⚠️ MONITOR","✅ OK"))</f>
        <v>✅ OK</v>
      </c>
      <c r="AG22" s="47" t="n">
        <f aca="false">ROSTER!AP22</f>
        <v>42.875</v>
      </c>
      <c r="AH22" s="47" t="str">
        <f aca="false">ROSTER!AQ22</f>
        <v>✅ OK</v>
      </c>
    </row>
    <row r="23" customFormat="false" ht="15" hidden="false" customHeight="true" outlineLevel="0" collapsed="false">
      <c r="A23" s="1" t="str">
        <f aca="false">ROSTER!A23</f>
        <v>Tina Hall</v>
      </c>
      <c r="B23" s="1" t="str">
        <f aca="false">ROSTER!B23</f>
        <v>Night B</v>
      </c>
      <c r="C23" s="34" t="n">
        <f aca="false">IF(OR(ROSTER!E23="OFF",ROSTER!E23="AL",ROSTER!E23="SICK",ROSTER!E23="AVL",ROSTER!E23=""),0,1)</f>
        <v>0</v>
      </c>
      <c r="D23" s="34" t="n">
        <f aca="false">IF(OR(ROSTER!F23="OFF",ROSTER!F23="AL",ROSTER!F23="SICK",ROSTER!F23="AVL",ROSTER!F23=""),0,C23+1)</f>
        <v>0</v>
      </c>
      <c r="E23" s="34" t="n">
        <f aca="false">IF(OR(ROSTER!G23="OFF",ROSTER!G23="AL",ROSTER!G23="SICK",ROSTER!G23="AVL",ROSTER!G23=""),0,D23+1)</f>
        <v>1</v>
      </c>
      <c r="F23" s="34" t="n">
        <f aca="false">IF(OR(ROSTER!H23="OFF",ROSTER!H23="AL",ROSTER!H23="SICK",ROSTER!H23="AVL",ROSTER!H23=""),0,E23+1)</f>
        <v>2</v>
      </c>
      <c r="G23" s="34" t="n">
        <f aca="false">IF(OR(ROSTER!I23="OFF",ROSTER!I23="AL",ROSTER!I23="SICK",ROSTER!I23="AVL",ROSTER!I23=""),0,F23+1)</f>
        <v>0</v>
      </c>
      <c r="H23" s="34" t="n">
        <f aca="false">IF(OR(ROSTER!J23="OFF",ROSTER!J23="AL",ROSTER!J23="SICK",ROSTER!J23="AVL",ROSTER!J23=""),0,G23+1)</f>
        <v>0</v>
      </c>
      <c r="I23" s="34" t="n">
        <f aca="false">IF(OR(ROSTER!K23="OFF",ROSTER!K23="AL",ROSTER!K23="SICK",ROSTER!K23="AVL",ROSTER!K23=""),0,H23+1)</f>
        <v>0</v>
      </c>
      <c r="J23" s="34" t="n">
        <f aca="false">IF(OR(ROSTER!L23="OFF",ROSTER!L23="AL",ROSTER!L23="SICK",ROSTER!L23="AVL",ROSTER!L23=""),0,I23+1)</f>
        <v>1</v>
      </c>
      <c r="K23" s="34" t="n">
        <f aca="false">IF(OR(ROSTER!M23="OFF",ROSTER!M23="AL",ROSTER!M23="SICK",ROSTER!M23="AVL",ROSTER!M23=""),0,J23+1)</f>
        <v>2</v>
      </c>
      <c r="L23" s="34" t="n">
        <f aca="false">IF(OR(ROSTER!N23="OFF",ROSTER!N23="AL",ROSTER!N23="SICK",ROSTER!N23="AVL",ROSTER!N23=""),0,K23+1)</f>
        <v>0</v>
      </c>
      <c r="M23" s="34" t="n">
        <f aca="false">IF(OR(ROSTER!O23="OFF",ROSTER!O23="AL",ROSTER!O23="SICK",ROSTER!O23="AVL",ROSTER!O23=""),0,L23+1)</f>
        <v>0</v>
      </c>
      <c r="N23" s="34" t="n">
        <f aca="false">IF(OR(ROSTER!P23="OFF",ROSTER!P23="AL",ROSTER!P23="SICK",ROSTER!P23="AVL",ROSTER!P23=""),0,M23+1)</f>
        <v>1</v>
      </c>
      <c r="O23" s="34" t="n">
        <f aca="false">IF(OR(ROSTER!Q23="OFF",ROSTER!Q23="AL",ROSTER!Q23="SICK",ROSTER!Q23="AVL",ROSTER!Q23=""),0,N23+1)</f>
        <v>2</v>
      </c>
      <c r="P23" s="34" t="n">
        <f aca="false">IF(OR(ROSTER!R23="OFF",ROSTER!R23="AL",ROSTER!R23="SICK",ROSTER!R23="AVL",ROSTER!R23=""),0,O23+1)</f>
        <v>3</v>
      </c>
      <c r="Q23" s="34" t="n">
        <f aca="false">IF(OR(ROSTER!S23="OFF",ROSTER!S23="AL",ROSTER!S23="SICK",ROSTER!S23="AVL",ROSTER!S23=""),0,P23+1)</f>
        <v>0</v>
      </c>
      <c r="R23" s="34" t="n">
        <f aca="false">IF(OR(ROSTER!T23="OFF",ROSTER!T23="AL",ROSTER!T23="SICK",ROSTER!T23="AVL",ROSTER!T23=""),0,Q23+1)</f>
        <v>0</v>
      </c>
      <c r="S23" s="34" t="n">
        <f aca="false">IF(OR(ROSTER!U23="OFF",ROSTER!U23="AL",ROSTER!U23="SICK",ROSTER!U23="AVL",ROSTER!U23=""),0,R23+1)</f>
        <v>1</v>
      </c>
      <c r="T23" s="34" t="n">
        <f aca="false">IF(OR(ROSTER!V23="OFF",ROSTER!V23="AL",ROSTER!V23="SICK",ROSTER!V23="AVL",ROSTER!V23=""),0,S23+1)</f>
        <v>2</v>
      </c>
      <c r="U23" s="34" t="n">
        <f aca="false">IF(OR(ROSTER!W23="OFF",ROSTER!W23="AL",ROSTER!W23="SICK",ROSTER!W23="AVL",ROSTER!W23=""),0,T23+1)</f>
        <v>0</v>
      </c>
      <c r="V23" s="34" t="n">
        <f aca="false">IF(OR(ROSTER!X23="OFF",ROSTER!X23="AL",ROSTER!X23="SICK",ROSTER!X23="AVL",ROSTER!X23=""),0,U23+1)</f>
        <v>0</v>
      </c>
      <c r="W23" s="34" t="n">
        <f aca="false">IF(OR(ROSTER!Y23="OFF",ROSTER!Y23="AL",ROSTER!Y23="SICK",ROSTER!Y23="AVL",ROSTER!Y23=""),0,V23+1)</f>
        <v>0</v>
      </c>
      <c r="X23" s="34" t="n">
        <f aca="false">IF(OR(ROSTER!Z23="OFF",ROSTER!Z23="AL",ROSTER!Z23="SICK",ROSTER!Z23="AVL",ROSTER!Z23=""),0,W23+1)</f>
        <v>1</v>
      </c>
      <c r="Y23" s="34" t="n">
        <f aca="false">IF(OR(ROSTER!AA23="OFF",ROSTER!AA23="AL",ROSTER!AA23="SICK",ROSTER!AA23="AVL",ROSTER!AA23=""),0,X23+1)</f>
        <v>2</v>
      </c>
      <c r="Z23" s="34" t="n">
        <f aca="false">IF(OR(ROSTER!AB23="OFF",ROSTER!AB23="AL",ROSTER!AB23="SICK",ROSTER!AB23="AVL",ROSTER!AB23=""),0,Y23+1)</f>
        <v>0</v>
      </c>
      <c r="AA23" s="34" t="n">
        <f aca="false">IF(OR(ROSTER!AC23="OFF",ROSTER!AC23="AL",ROSTER!AC23="SICK",ROSTER!AC23="AVL",ROSTER!AC23=""),0,Z23+1)</f>
        <v>0</v>
      </c>
      <c r="AB23" s="34" t="n">
        <f aca="false">IF(OR(ROSTER!AD23="OFF",ROSTER!AD23="AL",ROSTER!AD23="SICK",ROSTER!AD23="AVL",ROSTER!AD23=""),0,AA23+1)</f>
        <v>1</v>
      </c>
      <c r="AC23" s="34" t="n">
        <f aca="false">IF(OR(ROSTER!AE23="OFF",ROSTER!AE23="AL",ROSTER!AE23="SICK",ROSTER!AE23="AVL",ROSTER!AE23=""),0,AB23+1)</f>
        <v>2</v>
      </c>
      <c r="AD23" s="34" t="n">
        <f aca="false">IF(OR(ROSTER!AF23="OFF",ROSTER!AF23="AL",ROSTER!AF23="SICK",ROSTER!AF23="AVL",ROSTER!AF23=""),0,AC23+1)</f>
        <v>3</v>
      </c>
      <c r="AE23" s="34" t="n">
        <f aca="false">MAX(C23:AD23)</f>
        <v>3</v>
      </c>
      <c r="AF23" s="34" t="str">
        <f aca="false">IF(AE23&gt;=CONFIG!$B$33,"🟣 BLOCK OT",IF(AE23&gt;=4,"⚠️ MONITOR","✅ OK"))</f>
        <v>✅ OK</v>
      </c>
      <c r="AG23" s="47" t="n">
        <f aca="false">ROSTER!AP23</f>
        <v>42.875</v>
      </c>
      <c r="AH23" s="47" t="str">
        <f aca="false">ROSTER!AQ23</f>
        <v>✅ OK</v>
      </c>
    </row>
    <row r="24" customFormat="false" ht="15" hidden="false" customHeight="true" outlineLevel="0" collapsed="false">
      <c r="A24" s="1" t="str">
        <f aca="false">ROSTER!A24</f>
        <v>Uma Shah</v>
      </c>
      <c r="B24" s="1" t="str">
        <f aca="false">ROSTER!B24</f>
        <v>Float</v>
      </c>
      <c r="C24" s="34" t="n">
        <f aca="false">IF(OR(ROSTER!E24="OFF",ROSTER!E24="AL",ROSTER!E24="SICK",ROSTER!E24="AVL",ROSTER!E24=""),0,1)</f>
        <v>0</v>
      </c>
      <c r="D24" s="34" t="n">
        <f aca="false">IF(OR(ROSTER!F24="OFF",ROSTER!F24="AL",ROSTER!F24="SICK",ROSTER!F24="AVL",ROSTER!F24=""),0,C24+1)</f>
        <v>0</v>
      </c>
      <c r="E24" s="34" t="n">
        <f aca="false">IF(OR(ROSTER!G24="OFF",ROSTER!G24="AL",ROSTER!G24="SICK",ROSTER!G24="AVL",ROSTER!G24=""),0,D24+1)</f>
        <v>0</v>
      </c>
      <c r="F24" s="34" t="n">
        <f aca="false">IF(OR(ROSTER!H24="OFF",ROSTER!H24="AL",ROSTER!H24="SICK",ROSTER!H24="AVL",ROSTER!H24=""),0,E24+1)</f>
        <v>0</v>
      </c>
      <c r="G24" s="34" t="n">
        <f aca="false">IF(OR(ROSTER!I24="OFF",ROSTER!I24="AL",ROSTER!I24="SICK",ROSTER!I24="AVL",ROSTER!I24=""),0,F24+1)</f>
        <v>0</v>
      </c>
      <c r="H24" s="34" t="n">
        <f aca="false">IF(OR(ROSTER!J24="OFF",ROSTER!J24="AL",ROSTER!J24="SICK",ROSTER!J24="AVL",ROSTER!J24=""),0,G24+1)</f>
        <v>0</v>
      </c>
      <c r="I24" s="34" t="n">
        <f aca="false">IF(OR(ROSTER!K24="OFF",ROSTER!K24="AL",ROSTER!K24="SICK",ROSTER!K24="AVL",ROSTER!K24=""),0,H24+1)</f>
        <v>0</v>
      </c>
      <c r="J24" s="34" t="n">
        <f aca="false">IF(OR(ROSTER!L24="OFF",ROSTER!L24="AL",ROSTER!L24="SICK",ROSTER!L24="AVL",ROSTER!L24=""),0,I24+1)</f>
        <v>0</v>
      </c>
      <c r="K24" s="34" t="n">
        <f aca="false">IF(OR(ROSTER!M24="OFF",ROSTER!M24="AL",ROSTER!M24="SICK",ROSTER!M24="AVL",ROSTER!M24=""),0,J24+1)</f>
        <v>0</v>
      </c>
      <c r="L24" s="34" t="n">
        <f aca="false">IF(OR(ROSTER!N24="OFF",ROSTER!N24="AL",ROSTER!N24="SICK",ROSTER!N24="AVL",ROSTER!N24=""),0,K24+1)</f>
        <v>0</v>
      </c>
      <c r="M24" s="34" t="n">
        <f aca="false">IF(OR(ROSTER!O24="OFF",ROSTER!O24="AL",ROSTER!O24="SICK",ROSTER!O24="AVL",ROSTER!O24=""),0,L24+1)</f>
        <v>0</v>
      </c>
      <c r="N24" s="34" t="n">
        <f aca="false">IF(OR(ROSTER!P24="OFF",ROSTER!P24="AL",ROSTER!P24="SICK",ROSTER!P24="AVL",ROSTER!P24=""),0,M24+1)</f>
        <v>0</v>
      </c>
      <c r="O24" s="34" t="n">
        <f aca="false">IF(OR(ROSTER!Q24="OFF",ROSTER!Q24="AL",ROSTER!Q24="SICK",ROSTER!Q24="AVL",ROSTER!Q24=""),0,N24+1)</f>
        <v>0</v>
      </c>
      <c r="P24" s="34" t="n">
        <f aca="false">IF(OR(ROSTER!R24="OFF",ROSTER!R24="AL",ROSTER!R24="SICK",ROSTER!R24="AVL",ROSTER!R24=""),0,O24+1)</f>
        <v>0</v>
      </c>
      <c r="Q24" s="34" t="n">
        <f aca="false">IF(OR(ROSTER!S24="OFF",ROSTER!S24="AL",ROSTER!S24="SICK",ROSTER!S24="AVL",ROSTER!S24=""),0,P24+1)</f>
        <v>0</v>
      </c>
      <c r="R24" s="34" t="n">
        <f aca="false">IF(OR(ROSTER!T24="OFF",ROSTER!T24="AL",ROSTER!T24="SICK",ROSTER!T24="AVL",ROSTER!T24=""),0,Q24+1)</f>
        <v>0</v>
      </c>
      <c r="S24" s="34" t="n">
        <f aca="false">IF(OR(ROSTER!U24="OFF",ROSTER!U24="AL",ROSTER!U24="SICK",ROSTER!U24="AVL",ROSTER!U24=""),0,R24+1)</f>
        <v>0</v>
      </c>
      <c r="T24" s="34" t="n">
        <f aca="false">IF(OR(ROSTER!V24="OFF",ROSTER!V24="AL",ROSTER!V24="SICK",ROSTER!V24="AVL",ROSTER!V24=""),0,S24+1)</f>
        <v>0</v>
      </c>
      <c r="U24" s="34" t="n">
        <f aca="false">IF(OR(ROSTER!W24="OFF",ROSTER!W24="AL",ROSTER!W24="SICK",ROSTER!W24="AVL",ROSTER!W24=""),0,T24+1)</f>
        <v>0</v>
      </c>
      <c r="V24" s="34" t="n">
        <f aca="false">IF(OR(ROSTER!X24="OFF",ROSTER!X24="AL",ROSTER!X24="SICK",ROSTER!X24="AVL",ROSTER!X24=""),0,U24+1)</f>
        <v>0</v>
      </c>
      <c r="W24" s="34" t="n">
        <f aca="false">IF(OR(ROSTER!Y24="OFF",ROSTER!Y24="AL",ROSTER!Y24="SICK",ROSTER!Y24="AVL",ROSTER!Y24=""),0,V24+1)</f>
        <v>0</v>
      </c>
      <c r="X24" s="34" t="n">
        <f aca="false">IF(OR(ROSTER!Z24="OFF",ROSTER!Z24="AL",ROSTER!Z24="SICK",ROSTER!Z24="AVL",ROSTER!Z24=""),0,W24+1)</f>
        <v>0</v>
      </c>
      <c r="Y24" s="34" t="n">
        <f aca="false">IF(OR(ROSTER!AA24="OFF",ROSTER!AA24="AL",ROSTER!AA24="SICK",ROSTER!AA24="AVL",ROSTER!AA24=""),0,X24+1)</f>
        <v>0</v>
      </c>
      <c r="Z24" s="34" t="n">
        <f aca="false">IF(OR(ROSTER!AB24="OFF",ROSTER!AB24="AL",ROSTER!AB24="SICK",ROSTER!AB24="AVL",ROSTER!AB24=""),0,Y24+1)</f>
        <v>0</v>
      </c>
      <c r="AA24" s="34" t="n">
        <f aca="false">IF(OR(ROSTER!AC24="OFF",ROSTER!AC24="AL",ROSTER!AC24="SICK",ROSTER!AC24="AVL",ROSTER!AC24=""),0,Z24+1)</f>
        <v>0</v>
      </c>
      <c r="AB24" s="34" t="n">
        <f aca="false">IF(OR(ROSTER!AD24="OFF",ROSTER!AD24="AL",ROSTER!AD24="SICK",ROSTER!AD24="AVL",ROSTER!AD24=""),0,AA24+1)</f>
        <v>0</v>
      </c>
      <c r="AC24" s="34" t="n">
        <f aca="false">IF(OR(ROSTER!AE24="OFF",ROSTER!AE24="AL",ROSTER!AE24="SICK",ROSTER!AE24="AVL",ROSTER!AE24=""),0,AB24+1)</f>
        <v>0</v>
      </c>
      <c r="AD24" s="34" t="n">
        <f aca="false">IF(OR(ROSTER!AF24="OFF",ROSTER!AF24="AL",ROSTER!AF24="SICK",ROSTER!AF24="AVL",ROSTER!AF24=""),0,AC24+1)</f>
        <v>0</v>
      </c>
      <c r="AE24" s="34" t="n">
        <f aca="false">MAX(C24:AD24)</f>
        <v>0</v>
      </c>
      <c r="AF24" s="34" t="str">
        <f aca="false">IF(AE24&gt;=CONFIG!$B$33,"🟣 BLOCK OT",IF(AE24&gt;=4,"⚠️ MONITOR","✅ OK"))</f>
        <v>✅ OK</v>
      </c>
      <c r="AG24" s="47" t="n">
        <f aca="false">ROSTER!AP24</f>
        <v>0</v>
      </c>
      <c r="AH24" s="47" t="str">
        <f aca="false">ROSTER!AQ24</f>
        <v>✅ OK</v>
      </c>
    </row>
    <row r="25" customFormat="false" ht="15" hidden="false" customHeight="true" outlineLevel="0" collapsed="false">
      <c r="A25" s="1" t="str">
        <f aca="false">ROSTER!A25</f>
        <v>Victor Chen</v>
      </c>
      <c r="B25" s="1" t="str">
        <f aca="false">ROSTER!B25</f>
        <v>Float</v>
      </c>
      <c r="C25" s="34" t="n">
        <f aca="false">IF(OR(ROSTER!E25="OFF",ROSTER!E25="AL",ROSTER!E25="SICK",ROSTER!E25="AVL",ROSTER!E25=""),0,1)</f>
        <v>0</v>
      </c>
      <c r="D25" s="34" t="n">
        <f aca="false">IF(OR(ROSTER!F25="OFF",ROSTER!F25="AL",ROSTER!F25="SICK",ROSTER!F25="AVL",ROSTER!F25=""),0,C25+1)</f>
        <v>0</v>
      </c>
      <c r="E25" s="34" t="n">
        <f aca="false">IF(OR(ROSTER!G25="OFF",ROSTER!G25="AL",ROSTER!G25="SICK",ROSTER!G25="AVL",ROSTER!G25=""),0,D25+1)</f>
        <v>0</v>
      </c>
      <c r="F25" s="34" t="n">
        <f aca="false">IF(OR(ROSTER!H25="OFF",ROSTER!H25="AL",ROSTER!H25="SICK",ROSTER!H25="AVL",ROSTER!H25=""),0,E25+1)</f>
        <v>0</v>
      </c>
      <c r="G25" s="34" t="n">
        <f aca="false">IF(OR(ROSTER!I25="OFF",ROSTER!I25="AL",ROSTER!I25="SICK",ROSTER!I25="AVL",ROSTER!I25=""),0,F25+1)</f>
        <v>0</v>
      </c>
      <c r="H25" s="34" t="n">
        <f aca="false">IF(OR(ROSTER!J25="OFF",ROSTER!J25="AL",ROSTER!J25="SICK",ROSTER!J25="AVL",ROSTER!J25=""),0,G25+1)</f>
        <v>0</v>
      </c>
      <c r="I25" s="34" t="n">
        <f aca="false">IF(OR(ROSTER!K25="OFF",ROSTER!K25="AL",ROSTER!K25="SICK",ROSTER!K25="AVL",ROSTER!K25=""),0,H25+1)</f>
        <v>0</v>
      </c>
      <c r="J25" s="34" t="n">
        <f aca="false">IF(OR(ROSTER!L25="OFF",ROSTER!L25="AL",ROSTER!L25="SICK",ROSTER!L25="AVL",ROSTER!L25=""),0,I25+1)</f>
        <v>0</v>
      </c>
      <c r="K25" s="34" t="n">
        <f aca="false">IF(OR(ROSTER!M25="OFF",ROSTER!M25="AL",ROSTER!M25="SICK",ROSTER!M25="AVL",ROSTER!M25=""),0,J25+1)</f>
        <v>0</v>
      </c>
      <c r="L25" s="34" t="n">
        <f aca="false">IF(OR(ROSTER!N25="OFF",ROSTER!N25="AL",ROSTER!N25="SICK",ROSTER!N25="AVL",ROSTER!N25=""),0,K25+1)</f>
        <v>0</v>
      </c>
      <c r="M25" s="34" t="n">
        <f aca="false">IF(OR(ROSTER!O25="OFF",ROSTER!O25="AL",ROSTER!O25="SICK",ROSTER!O25="AVL",ROSTER!O25=""),0,L25+1)</f>
        <v>0</v>
      </c>
      <c r="N25" s="34" t="n">
        <f aca="false">IF(OR(ROSTER!P25="OFF",ROSTER!P25="AL",ROSTER!P25="SICK",ROSTER!P25="AVL",ROSTER!P25=""),0,M25+1)</f>
        <v>0</v>
      </c>
      <c r="O25" s="34" t="n">
        <f aca="false">IF(OR(ROSTER!Q25="OFF",ROSTER!Q25="AL",ROSTER!Q25="SICK",ROSTER!Q25="AVL",ROSTER!Q25=""),0,N25+1)</f>
        <v>0</v>
      </c>
      <c r="P25" s="34" t="n">
        <f aca="false">IF(OR(ROSTER!R25="OFF",ROSTER!R25="AL",ROSTER!R25="SICK",ROSTER!R25="AVL",ROSTER!R25=""),0,O25+1)</f>
        <v>0</v>
      </c>
      <c r="Q25" s="34" t="n">
        <f aca="false">IF(OR(ROSTER!S25="OFF",ROSTER!S25="AL",ROSTER!S25="SICK",ROSTER!S25="AVL",ROSTER!S25=""),0,P25+1)</f>
        <v>0</v>
      </c>
      <c r="R25" s="34" t="n">
        <f aca="false">IF(OR(ROSTER!T25="OFF",ROSTER!T25="AL",ROSTER!T25="SICK",ROSTER!T25="AVL",ROSTER!T25=""),0,Q25+1)</f>
        <v>0</v>
      </c>
      <c r="S25" s="34" t="n">
        <f aca="false">IF(OR(ROSTER!U25="OFF",ROSTER!U25="AL",ROSTER!U25="SICK",ROSTER!U25="AVL",ROSTER!U25=""),0,R25+1)</f>
        <v>0</v>
      </c>
      <c r="T25" s="34" t="n">
        <f aca="false">IF(OR(ROSTER!V25="OFF",ROSTER!V25="AL",ROSTER!V25="SICK",ROSTER!V25="AVL",ROSTER!V25=""),0,S25+1)</f>
        <v>0</v>
      </c>
      <c r="U25" s="34" t="n">
        <f aca="false">IF(OR(ROSTER!W25="OFF",ROSTER!W25="AL",ROSTER!W25="SICK",ROSTER!W25="AVL",ROSTER!W25=""),0,T25+1)</f>
        <v>0</v>
      </c>
      <c r="V25" s="34" t="n">
        <f aca="false">IF(OR(ROSTER!X25="OFF",ROSTER!X25="AL",ROSTER!X25="SICK",ROSTER!X25="AVL",ROSTER!X25=""),0,U25+1)</f>
        <v>0</v>
      </c>
      <c r="W25" s="34" t="n">
        <f aca="false">IF(OR(ROSTER!Y25="OFF",ROSTER!Y25="AL",ROSTER!Y25="SICK",ROSTER!Y25="AVL",ROSTER!Y25=""),0,V25+1)</f>
        <v>0</v>
      </c>
      <c r="X25" s="34" t="n">
        <f aca="false">IF(OR(ROSTER!Z25="OFF",ROSTER!Z25="AL",ROSTER!Z25="SICK",ROSTER!Z25="AVL",ROSTER!Z25=""),0,W25+1)</f>
        <v>0</v>
      </c>
      <c r="Y25" s="34" t="n">
        <f aca="false">IF(OR(ROSTER!AA25="OFF",ROSTER!AA25="AL",ROSTER!AA25="SICK",ROSTER!AA25="AVL",ROSTER!AA25=""),0,X25+1)</f>
        <v>0</v>
      </c>
      <c r="Z25" s="34" t="n">
        <f aca="false">IF(OR(ROSTER!AB25="OFF",ROSTER!AB25="AL",ROSTER!AB25="SICK",ROSTER!AB25="AVL",ROSTER!AB25=""),0,Y25+1)</f>
        <v>0</v>
      </c>
      <c r="AA25" s="34" t="n">
        <f aca="false">IF(OR(ROSTER!AC25="OFF",ROSTER!AC25="AL",ROSTER!AC25="SICK",ROSTER!AC25="AVL",ROSTER!AC25=""),0,Z25+1)</f>
        <v>0</v>
      </c>
      <c r="AB25" s="34" t="n">
        <f aca="false">IF(OR(ROSTER!AD25="OFF",ROSTER!AD25="AL",ROSTER!AD25="SICK",ROSTER!AD25="AVL",ROSTER!AD25=""),0,AA25+1)</f>
        <v>0</v>
      </c>
      <c r="AC25" s="34" t="n">
        <f aca="false">IF(OR(ROSTER!AE25="OFF",ROSTER!AE25="AL",ROSTER!AE25="SICK",ROSTER!AE25="AVL",ROSTER!AE25=""),0,AB25+1)</f>
        <v>0</v>
      </c>
      <c r="AD25" s="34" t="n">
        <f aca="false">IF(OR(ROSTER!AF25="OFF",ROSTER!AF25="AL",ROSTER!AF25="SICK",ROSTER!AF25="AVL",ROSTER!AF25=""),0,AC25+1)</f>
        <v>0</v>
      </c>
      <c r="AE25" s="34" t="n">
        <f aca="false">MAX(C25:AD25)</f>
        <v>0</v>
      </c>
      <c r="AF25" s="34" t="str">
        <f aca="false">IF(AE25&gt;=CONFIG!$B$33,"🟣 BLOCK OT",IF(AE25&gt;=4,"⚠️ MONITOR","✅ OK"))</f>
        <v>✅ OK</v>
      </c>
      <c r="AG25" s="47" t="n">
        <f aca="false">ROSTER!AP25</f>
        <v>0</v>
      </c>
      <c r="AH25" s="47" t="str">
        <f aca="false">ROSTER!AQ25</f>
        <v>✅ OK</v>
      </c>
    </row>
    <row r="26" customFormat="false" ht="15" hidden="false" customHeight="true" outlineLevel="0" collapsed="false">
      <c r="A26" s="1" t="str">
        <f aca="false">ROSTER!A26</f>
        <v>Wendy Jones</v>
      </c>
      <c r="B26" s="1" t="str">
        <f aca="false">ROSTER!B26</f>
        <v>Float</v>
      </c>
      <c r="C26" s="34" t="n">
        <f aca="false">IF(OR(ROSTER!E26="OFF",ROSTER!E26="AL",ROSTER!E26="SICK",ROSTER!E26="AVL",ROSTER!E26=""),0,1)</f>
        <v>0</v>
      </c>
      <c r="D26" s="34" t="n">
        <f aca="false">IF(OR(ROSTER!F26="OFF",ROSTER!F26="AL",ROSTER!F26="SICK",ROSTER!F26="AVL",ROSTER!F26=""),0,C26+1)</f>
        <v>0</v>
      </c>
      <c r="E26" s="34" t="n">
        <f aca="false">IF(OR(ROSTER!G26="OFF",ROSTER!G26="AL",ROSTER!G26="SICK",ROSTER!G26="AVL",ROSTER!G26=""),0,D26+1)</f>
        <v>0</v>
      </c>
      <c r="F26" s="34" t="n">
        <f aca="false">IF(OR(ROSTER!H26="OFF",ROSTER!H26="AL",ROSTER!H26="SICK",ROSTER!H26="AVL",ROSTER!H26=""),0,E26+1)</f>
        <v>0</v>
      </c>
      <c r="G26" s="34" t="n">
        <f aca="false">IF(OR(ROSTER!I26="OFF",ROSTER!I26="AL",ROSTER!I26="SICK",ROSTER!I26="AVL",ROSTER!I26=""),0,F26+1)</f>
        <v>0</v>
      </c>
      <c r="H26" s="34" t="n">
        <f aca="false">IF(OR(ROSTER!J26="OFF",ROSTER!J26="AL",ROSTER!J26="SICK",ROSTER!J26="AVL",ROSTER!J26=""),0,G26+1)</f>
        <v>0</v>
      </c>
      <c r="I26" s="34" t="n">
        <f aca="false">IF(OR(ROSTER!K26="OFF",ROSTER!K26="AL",ROSTER!K26="SICK",ROSTER!K26="AVL",ROSTER!K26=""),0,H26+1)</f>
        <v>0</v>
      </c>
      <c r="J26" s="34" t="n">
        <f aca="false">IF(OR(ROSTER!L26="OFF",ROSTER!L26="AL",ROSTER!L26="SICK",ROSTER!L26="AVL",ROSTER!L26=""),0,I26+1)</f>
        <v>0</v>
      </c>
      <c r="K26" s="34" t="n">
        <f aca="false">IF(OR(ROSTER!M26="OFF",ROSTER!M26="AL",ROSTER!M26="SICK",ROSTER!M26="AVL",ROSTER!M26=""),0,J26+1)</f>
        <v>0</v>
      </c>
      <c r="L26" s="34" t="n">
        <f aca="false">IF(OR(ROSTER!N26="OFF",ROSTER!N26="AL",ROSTER!N26="SICK",ROSTER!N26="AVL",ROSTER!N26=""),0,K26+1)</f>
        <v>0</v>
      </c>
      <c r="M26" s="34" t="n">
        <f aca="false">IF(OR(ROSTER!O26="OFF",ROSTER!O26="AL",ROSTER!O26="SICK",ROSTER!O26="AVL",ROSTER!O26=""),0,L26+1)</f>
        <v>0</v>
      </c>
      <c r="N26" s="34" t="n">
        <f aca="false">IF(OR(ROSTER!P26="OFF",ROSTER!P26="AL",ROSTER!P26="SICK",ROSTER!P26="AVL",ROSTER!P26=""),0,M26+1)</f>
        <v>0</v>
      </c>
      <c r="O26" s="34" t="n">
        <f aca="false">IF(OR(ROSTER!Q26="OFF",ROSTER!Q26="AL",ROSTER!Q26="SICK",ROSTER!Q26="AVL",ROSTER!Q26=""),0,N26+1)</f>
        <v>0</v>
      </c>
      <c r="P26" s="34" t="n">
        <f aca="false">IF(OR(ROSTER!R26="OFF",ROSTER!R26="AL",ROSTER!R26="SICK",ROSTER!R26="AVL",ROSTER!R26=""),0,O26+1)</f>
        <v>0</v>
      </c>
      <c r="Q26" s="34" t="n">
        <f aca="false">IF(OR(ROSTER!S26="OFF",ROSTER!S26="AL",ROSTER!S26="SICK",ROSTER!S26="AVL",ROSTER!S26=""),0,P26+1)</f>
        <v>0</v>
      </c>
      <c r="R26" s="34" t="n">
        <f aca="false">IF(OR(ROSTER!T26="OFF",ROSTER!T26="AL",ROSTER!T26="SICK",ROSTER!T26="AVL",ROSTER!T26=""),0,Q26+1)</f>
        <v>0</v>
      </c>
      <c r="S26" s="34" t="n">
        <f aca="false">IF(OR(ROSTER!U26="OFF",ROSTER!U26="AL",ROSTER!U26="SICK",ROSTER!U26="AVL",ROSTER!U26=""),0,R26+1)</f>
        <v>0</v>
      </c>
      <c r="T26" s="34" t="n">
        <f aca="false">IF(OR(ROSTER!V26="OFF",ROSTER!V26="AL",ROSTER!V26="SICK",ROSTER!V26="AVL",ROSTER!V26=""),0,S26+1)</f>
        <v>0</v>
      </c>
      <c r="U26" s="34" t="n">
        <f aca="false">IF(OR(ROSTER!W26="OFF",ROSTER!W26="AL",ROSTER!W26="SICK",ROSTER!W26="AVL",ROSTER!W26=""),0,T26+1)</f>
        <v>0</v>
      </c>
      <c r="V26" s="34" t="n">
        <f aca="false">IF(OR(ROSTER!X26="OFF",ROSTER!X26="AL",ROSTER!X26="SICK",ROSTER!X26="AVL",ROSTER!X26=""),0,U26+1)</f>
        <v>0</v>
      </c>
      <c r="W26" s="34" t="n">
        <f aca="false">IF(OR(ROSTER!Y26="OFF",ROSTER!Y26="AL",ROSTER!Y26="SICK",ROSTER!Y26="AVL",ROSTER!Y26=""),0,V26+1)</f>
        <v>0</v>
      </c>
      <c r="X26" s="34" t="n">
        <f aca="false">IF(OR(ROSTER!Z26="OFF",ROSTER!Z26="AL",ROSTER!Z26="SICK",ROSTER!Z26="AVL",ROSTER!Z26=""),0,W26+1)</f>
        <v>0</v>
      </c>
      <c r="Y26" s="34" t="n">
        <f aca="false">IF(OR(ROSTER!AA26="OFF",ROSTER!AA26="AL",ROSTER!AA26="SICK",ROSTER!AA26="AVL",ROSTER!AA26=""),0,X26+1)</f>
        <v>0</v>
      </c>
      <c r="Z26" s="34" t="n">
        <f aca="false">IF(OR(ROSTER!AB26="OFF",ROSTER!AB26="AL",ROSTER!AB26="SICK",ROSTER!AB26="AVL",ROSTER!AB26=""),0,Y26+1)</f>
        <v>0</v>
      </c>
      <c r="AA26" s="34" t="n">
        <f aca="false">IF(OR(ROSTER!AC26="OFF",ROSTER!AC26="AL",ROSTER!AC26="SICK",ROSTER!AC26="AVL",ROSTER!AC26=""),0,Z26+1)</f>
        <v>0</v>
      </c>
      <c r="AB26" s="34" t="n">
        <f aca="false">IF(OR(ROSTER!AD26="OFF",ROSTER!AD26="AL",ROSTER!AD26="SICK",ROSTER!AD26="AVL",ROSTER!AD26=""),0,AA26+1)</f>
        <v>0</v>
      </c>
      <c r="AC26" s="34" t="n">
        <f aca="false">IF(OR(ROSTER!AE26="OFF",ROSTER!AE26="AL",ROSTER!AE26="SICK",ROSTER!AE26="AVL",ROSTER!AE26=""),0,AB26+1)</f>
        <v>0</v>
      </c>
      <c r="AD26" s="34" t="n">
        <f aca="false">IF(OR(ROSTER!AF26="OFF",ROSTER!AF26="AL",ROSTER!AF26="SICK",ROSTER!AF26="AVL",ROSTER!AF26=""),0,AC26+1)</f>
        <v>0</v>
      </c>
      <c r="AE26" s="34" t="n">
        <f aca="false">MAX(C26:AD26)</f>
        <v>0</v>
      </c>
      <c r="AF26" s="34" t="str">
        <f aca="false">IF(AE26&gt;=CONFIG!$B$33,"🟣 BLOCK OT",IF(AE26&gt;=4,"⚠️ MONITOR","✅ OK"))</f>
        <v>✅ OK</v>
      </c>
      <c r="AG26" s="47" t="n">
        <f aca="false">ROSTER!AP26</f>
        <v>0</v>
      </c>
      <c r="AH26" s="47" t="str">
        <f aca="false">ROSTER!AQ26</f>
        <v>✅ OK</v>
      </c>
    </row>
    <row r="27" customFormat="false" ht="15" hidden="false" customHeight="true" outlineLevel="0" collapsed="false">
      <c r="A27" s="1" t="str">
        <f aca="false">ROSTER!A27</f>
        <v>Xena Price</v>
      </c>
      <c r="B27" s="1" t="str">
        <f aca="false">ROSTER!B27</f>
        <v>Day A</v>
      </c>
      <c r="C27" s="34" t="n">
        <f aca="false">IF(OR(ROSTER!E27="OFF",ROSTER!E27="AL",ROSTER!E27="SICK",ROSTER!E27="AVL",ROSTER!E27=""),0,1)</f>
        <v>1</v>
      </c>
      <c r="D27" s="34" t="n">
        <f aca="false">IF(OR(ROSTER!F27="OFF",ROSTER!F27="AL",ROSTER!F27="SICK",ROSTER!F27="AVL",ROSTER!F27=""),0,C27+1)</f>
        <v>2</v>
      </c>
      <c r="E27" s="34" t="n">
        <f aca="false">IF(OR(ROSTER!G27="OFF",ROSTER!G27="AL",ROSTER!G27="SICK",ROSTER!G27="AVL",ROSTER!G27=""),0,D27+1)</f>
        <v>0</v>
      </c>
      <c r="F27" s="34" t="n">
        <f aca="false">IF(OR(ROSTER!H27="OFF",ROSTER!H27="AL",ROSTER!H27="SICK",ROSTER!H27="AVL",ROSTER!H27=""),0,E27+1)</f>
        <v>0</v>
      </c>
      <c r="G27" s="34" t="n">
        <f aca="false">IF(OR(ROSTER!I27="OFF",ROSTER!I27="AL",ROSTER!I27="SICK",ROSTER!I27="AVL",ROSTER!I27=""),0,F27+1)</f>
        <v>1</v>
      </c>
      <c r="H27" s="34" t="n">
        <f aca="false">IF(OR(ROSTER!J27="OFF",ROSTER!J27="AL",ROSTER!J27="SICK",ROSTER!J27="AVL",ROSTER!J27=""),0,G27+1)</f>
        <v>2</v>
      </c>
      <c r="I27" s="34" t="n">
        <f aca="false">IF(OR(ROSTER!K27="OFF",ROSTER!K27="AL",ROSTER!K27="SICK",ROSTER!K27="AVL",ROSTER!K27=""),0,H27+1)</f>
        <v>3</v>
      </c>
      <c r="J27" s="34" t="n">
        <f aca="false">IF(OR(ROSTER!L27="OFF",ROSTER!L27="AL",ROSTER!L27="SICK",ROSTER!L27="AVL",ROSTER!L27=""),0,I27+1)</f>
        <v>0</v>
      </c>
      <c r="K27" s="34" t="n">
        <f aca="false">IF(OR(ROSTER!M27="OFF",ROSTER!M27="AL",ROSTER!M27="SICK",ROSTER!M27="AVL",ROSTER!M27=""),0,J27+1)</f>
        <v>0</v>
      </c>
      <c r="L27" s="34" t="n">
        <f aca="false">IF(OR(ROSTER!N27="OFF",ROSTER!N27="AL",ROSTER!N27="SICK",ROSTER!N27="AVL",ROSTER!N27=""),0,K27+1)</f>
        <v>1</v>
      </c>
      <c r="M27" s="34" t="n">
        <f aca="false">IF(OR(ROSTER!O27="OFF",ROSTER!O27="AL",ROSTER!O27="SICK",ROSTER!O27="AVL",ROSTER!O27=""),0,L27+1)</f>
        <v>2</v>
      </c>
      <c r="N27" s="34" t="n">
        <f aca="false">IF(OR(ROSTER!P27="OFF",ROSTER!P27="AL",ROSTER!P27="SICK",ROSTER!P27="AVL",ROSTER!P27=""),0,M27+1)</f>
        <v>0</v>
      </c>
      <c r="O27" s="34" t="n">
        <f aca="false">IF(OR(ROSTER!Q27="OFF",ROSTER!Q27="AL",ROSTER!Q27="SICK",ROSTER!Q27="AVL",ROSTER!Q27=""),0,N27+1)</f>
        <v>0</v>
      </c>
      <c r="P27" s="34" t="n">
        <f aca="false">IF(OR(ROSTER!R27="OFF",ROSTER!R27="AL",ROSTER!R27="SICK",ROSTER!R27="AVL",ROSTER!R27=""),0,O27+1)</f>
        <v>0</v>
      </c>
      <c r="Q27" s="34" t="n">
        <f aca="false">IF(OR(ROSTER!S27="OFF",ROSTER!S27="AL",ROSTER!S27="SICK",ROSTER!S27="AVL",ROSTER!S27=""),0,P27+1)</f>
        <v>1</v>
      </c>
      <c r="R27" s="34" t="n">
        <f aca="false">IF(OR(ROSTER!T27="OFF",ROSTER!T27="AL",ROSTER!T27="SICK",ROSTER!T27="AVL",ROSTER!T27=""),0,Q27+1)</f>
        <v>2</v>
      </c>
      <c r="S27" s="34" t="n">
        <f aca="false">IF(OR(ROSTER!U27="OFF",ROSTER!U27="AL",ROSTER!U27="SICK",ROSTER!U27="AVL",ROSTER!U27=""),0,R27+1)</f>
        <v>0</v>
      </c>
      <c r="T27" s="34" t="n">
        <f aca="false">IF(OR(ROSTER!V27="OFF",ROSTER!V27="AL",ROSTER!V27="SICK",ROSTER!V27="AVL",ROSTER!V27=""),0,S27+1)</f>
        <v>0</v>
      </c>
      <c r="U27" s="34" t="n">
        <f aca="false">IF(OR(ROSTER!W27="OFF",ROSTER!W27="AL",ROSTER!W27="SICK",ROSTER!W27="AVL",ROSTER!W27=""),0,T27+1)</f>
        <v>1</v>
      </c>
      <c r="V27" s="34" t="n">
        <f aca="false">IF(OR(ROSTER!X27="OFF",ROSTER!X27="AL",ROSTER!X27="SICK",ROSTER!X27="AVL",ROSTER!X27=""),0,U27+1)</f>
        <v>2</v>
      </c>
      <c r="W27" s="34" t="n">
        <f aca="false">IF(OR(ROSTER!Y27="OFF",ROSTER!Y27="AL",ROSTER!Y27="SICK",ROSTER!Y27="AVL",ROSTER!Y27=""),0,V27+1)</f>
        <v>3</v>
      </c>
      <c r="X27" s="34" t="n">
        <f aca="false">IF(OR(ROSTER!Z27="OFF",ROSTER!Z27="AL",ROSTER!Z27="SICK",ROSTER!Z27="AVL",ROSTER!Z27=""),0,W27+1)</f>
        <v>0</v>
      </c>
      <c r="Y27" s="34" t="n">
        <f aca="false">IF(OR(ROSTER!AA27="OFF",ROSTER!AA27="AL",ROSTER!AA27="SICK",ROSTER!AA27="AVL",ROSTER!AA27=""),0,X27+1)</f>
        <v>0</v>
      </c>
      <c r="Z27" s="34" t="n">
        <f aca="false">IF(OR(ROSTER!AB27="OFF",ROSTER!AB27="AL",ROSTER!AB27="SICK",ROSTER!AB27="AVL",ROSTER!AB27=""),0,Y27+1)</f>
        <v>1</v>
      </c>
      <c r="AA27" s="34" t="n">
        <f aca="false">IF(OR(ROSTER!AC27="OFF",ROSTER!AC27="AL",ROSTER!AC27="SICK",ROSTER!AC27="AVL",ROSTER!AC27=""),0,Z27+1)</f>
        <v>2</v>
      </c>
      <c r="AB27" s="34" t="n">
        <f aca="false">IF(OR(ROSTER!AD27="OFF",ROSTER!AD27="AL",ROSTER!AD27="SICK",ROSTER!AD27="AVL",ROSTER!AD27=""),0,AA27+1)</f>
        <v>0</v>
      </c>
      <c r="AC27" s="34" t="n">
        <f aca="false">IF(OR(ROSTER!AE27="OFF",ROSTER!AE27="AL",ROSTER!AE27="SICK",ROSTER!AE27="AVL",ROSTER!AE27=""),0,AB27+1)</f>
        <v>0</v>
      </c>
      <c r="AD27" s="34" t="n">
        <f aca="false">IF(OR(ROSTER!AF27="OFF",ROSTER!AF27="AL",ROSTER!AF27="SICK",ROSTER!AF27="AVL",ROSTER!AF27=""),0,AC27+1)</f>
        <v>0</v>
      </c>
      <c r="AE27" s="34" t="n">
        <f aca="false">MAX(C27:AD27)</f>
        <v>3</v>
      </c>
      <c r="AF27" s="34" t="str">
        <f aca="false">IF(AE27&gt;=CONFIG!$B$33,"🟣 BLOCK OT",IF(AE27&gt;=4,"⚠️ MONITOR","✅ OK"))</f>
        <v>✅ OK</v>
      </c>
      <c r="AG27" s="47" t="n">
        <f aca="false">ROSTER!AP27</f>
        <v>21</v>
      </c>
      <c r="AH27" s="47" t="str">
        <f aca="false">ROSTER!AQ27</f>
        <v>✅ OK</v>
      </c>
    </row>
    <row r="28" customFormat="false" ht="15" hidden="false" customHeight="true" outlineLevel="0" collapsed="false">
      <c r="A28" s="1" t="str">
        <f aca="false">ROSTER!A28</f>
        <v>Yasmin Reed</v>
      </c>
      <c r="B28" s="1" t="str">
        <f aca="false">ROSTER!B28</f>
        <v>Day B</v>
      </c>
      <c r="C28" s="1" t="n">
        <f aca="false">IF(OR(ROSTER!E28="OFF",ROSTER!E28="AL",ROSTER!E28="SICK",ROSTER!E28="AVL",ROSTER!E28=""),0,1)</f>
        <v>0</v>
      </c>
      <c r="D28" s="1" t="n">
        <f aca="false">IF(OR(ROSTER!F28="OFF",ROSTER!F28="AL",ROSTER!F28="SICK",ROSTER!F28="AVL",ROSTER!F28=""),0,C28+1)</f>
        <v>0</v>
      </c>
      <c r="E28" s="1" t="n">
        <f aca="false">IF(OR(ROSTER!G28="OFF",ROSTER!G28="AL",ROSTER!G28="SICK",ROSTER!G28="AVL",ROSTER!G28=""),0,D28+1)</f>
        <v>1</v>
      </c>
      <c r="F28" s="1" t="n">
        <f aca="false">IF(OR(ROSTER!H28="OFF",ROSTER!H28="AL",ROSTER!H28="SICK",ROSTER!H28="AVL",ROSTER!H28=""),0,E28+1)</f>
        <v>2</v>
      </c>
      <c r="G28" s="1" t="n">
        <f aca="false">IF(OR(ROSTER!I28="OFF",ROSTER!I28="AL",ROSTER!I28="SICK",ROSTER!I28="AVL",ROSTER!I28=""),0,F28+1)</f>
        <v>0</v>
      </c>
      <c r="H28" s="1" t="n">
        <f aca="false">IF(OR(ROSTER!J28="OFF",ROSTER!J28="AL",ROSTER!J28="SICK",ROSTER!J28="AVL",ROSTER!J28=""),0,G28+1)</f>
        <v>0</v>
      </c>
      <c r="I28" s="1" t="n">
        <f aca="false">IF(OR(ROSTER!K28="OFF",ROSTER!K28="AL",ROSTER!K28="SICK",ROSTER!K28="AVL",ROSTER!K28=""),0,H28+1)</f>
        <v>0</v>
      </c>
      <c r="J28" s="1" t="n">
        <f aca="false">IF(OR(ROSTER!L28="OFF",ROSTER!L28="AL",ROSTER!L28="SICK",ROSTER!L28="AVL",ROSTER!L28=""),0,I28+1)</f>
        <v>1</v>
      </c>
      <c r="K28" s="1" t="n">
        <f aca="false">IF(OR(ROSTER!M28="OFF",ROSTER!M28="AL",ROSTER!M28="SICK",ROSTER!M28="AVL",ROSTER!M28=""),0,J28+1)</f>
        <v>2</v>
      </c>
      <c r="L28" s="1" t="n">
        <f aca="false">IF(OR(ROSTER!N28="OFF",ROSTER!N28="AL",ROSTER!N28="SICK",ROSTER!N28="AVL",ROSTER!N28=""),0,K28+1)</f>
        <v>0</v>
      </c>
      <c r="M28" s="1" t="n">
        <f aca="false">IF(OR(ROSTER!O28="OFF",ROSTER!O28="AL",ROSTER!O28="SICK",ROSTER!O28="AVL",ROSTER!O28=""),0,L28+1)</f>
        <v>0</v>
      </c>
      <c r="N28" s="1" t="n">
        <f aca="false">IF(OR(ROSTER!P28="OFF",ROSTER!P28="AL",ROSTER!P28="SICK",ROSTER!P28="AVL",ROSTER!P28=""),0,M28+1)</f>
        <v>1</v>
      </c>
      <c r="O28" s="1" t="n">
        <f aca="false">IF(OR(ROSTER!Q28="OFF",ROSTER!Q28="AL",ROSTER!Q28="SICK",ROSTER!Q28="AVL",ROSTER!Q28=""),0,N28+1)</f>
        <v>2</v>
      </c>
      <c r="P28" s="1" t="n">
        <f aca="false">IF(OR(ROSTER!R28="OFF",ROSTER!R28="AL",ROSTER!R28="SICK",ROSTER!R28="AVL",ROSTER!R28=""),0,O28+1)</f>
        <v>3</v>
      </c>
      <c r="Q28" s="1" t="n">
        <f aca="false">IF(OR(ROSTER!S28="OFF",ROSTER!S28="AL",ROSTER!S28="SICK",ROSTER!S28="AVL",ROSTER!S28=""),0,P28+1)</f>
        <v>0</v>
      </c>
      <c r="R28" s="1" t="n">
        <f aca="false">IF(OR(ROSTER!T28="OFF",ROSTER!T28="AL",ROSTER!T28="SICK",ROSTER!T28="AVL",ROSTER!T28=""),0,Q28+1)</f>
        <v>0</v>
      </c>
      <c r="S28" s="1" t="n">
        <f aca="false">IF(OR(ROSTER!U28="OFF",ROSTER!U28="AL",ROSTER!U28="SICK",ROSTER!U28="AVL",ROSTER!U28=""),0,R28+1)</f>
        <v>1</v>
      </c>
      <c r="T28" s="1" t="n">
        <f aca="false">IF(OR(ROSTER!V28="OFF",ROSTER!V28="AL",ROSTER!V28="SICK",ROSTER!V28="AVL",ROSTER!V28=""),0,S28+1)</f>
        <v>2</v>
      </c>
      <c r="U28" s="1" t="n">
        <f aca="false">IF(OR(ROSTER!W28="OFF",ROSTER!W28="AL",ROSTER!W28="SICK",ROSTER!W28="AVL",ROSTER!W28=""),0,T28+1)</f>
        <v>0</v>
      </c>
      <c r="V28" s="1" t="n">
        <f aca="false">IF(OR(ROSTER!X28="OFF",ROSTER!X28="AL",ROSTER!X28="SICK",ROSTER!X28="AVL",ROSTER!X28=""),0,U28+1)</f>
        <v>0</v>
      </c>
      <c r="W28" s="1" t="n">
        <f aca="false">IF(OR(ROSTER!Y28="OFF",ROSTER!Y28="AL",ROSTER!Y28="SICK",ROSTER!Y28="AVL",ROSTER!Y28=""),0,V28+1)</f>
        <v>0</v>
      </c>
      <c r="X28" s="1" t="n">
        <f aca="false">IF(OR(ROSTER!Z28="OFF",ROSTER!Z28="AL",ROSTER!Z28="SICK",ROSTER!Z28="AVL",ROSTER!Z28=""),0,W28+1)</f>
        <v>1</v>
      </c>
      <c r="Y28" s="1" t="n">
        <f aca="false">IF(OR(ROSTER!AA28="OFF",ROSTER!AA28="AL",ROSTER!AA28="SICK",ROSTER!AA28="AVL",ROSTER!AA28=""),0,X28+1)</f>
        <v>2</v>
      </c>
      <c r="Z28" s="1" t="n">
        <f aca="false">IF(OR(ROSTER!AB28="OFF",ROSTER!AB28="AL",ROSTER!AB28="SICK",ROSTER!AB28="AVL",ROSTER!AB28=""),0,Y28+1)</f>
        <v>0</v>
      </c>
      <c r="AA28" s="1" t="n">
        <f aca="false">IF(OR(ROSTER!AC28="OFF",ROSTER!AC28="AL",ROSTER!AC28="SICK",ROSTER!AC28="AVL",ROSTER!AC28=""),0,Z28+1)</f>
        <v>0</v>
      </c>
      <c r="AB28" s="1" t="n">
        <f aca="false">IF(OR(ROSTER!AD28="OFF",ROSTER!AD28="AL",ROSTER!AD28="SICK",ROSTER!AD28="AVL",ROSTER!AD28=""),0,AA28+1)</f>
        <v>1</v>
      </c>
      <c r="AC28" s="1" t="n">
        <f aca="false">IF(OR(ROSTER!AE28="OFF",ROSTER!AE28="AL",ROSTER!AE28="SICK",ROSTER!AE28="AVL",ROSTER!AE28=""),0,AB28+1)</f>
        <v>2</v>
      </c>
      <c r="AD28" s="1" t="n">
        <f aca="false">IF(OR(ROSTER!AF28="OFF",ROSTER!AF28="AL",ROSTER!AF28="SICK",ROSTER!AF28="AVL",ROSTER!AF28=""),0,AC28+1)</f>
        <v>3</v>
      </c>
      <c r="AE28" s="1" t="n">
        <f aca="false">MAX(C28:AD28)</f>
        <v>3</v>
      </c>
      <c r="AF28" s="1" t="str">
        <f aca="false">IF(AE28&gt;=CONFIG!$B$33,"🟣 BLOCK OT",IF(AE28&gt;=4,"⚠️ MONITOR","✅ OK"))</f>
        <v>✅ OK</v>
      </c>
      <c r="AG28" s="47" t="n">
        <f aca="false">ROSTER!AP28</f>
        <v>21</v>
      </c>
      <c r="AH28" s="47" t="str">
        <f aca="false">ROSTER!AQ28</f>
        <v>✅ OK</v>
      </c>
    </row>
  </sheetData>
  <conditionalFormatting sqref="C5:AD27">
    <cfRule type="cellIs" priority="2" operator="greaterThanOrEqual" aboveAverage="0" equalAverage="0" bottom="0" percent="0" rank="0" text="" dxfId="9">
      <formula>CONFIG!$B$33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4" t="s">
        <v>600</v>
      </c>
    </row>
    <row r="3" customFormat="false" ht="15" hidden="false" customHeight="true" outlineLevel="0" collapsed="false">
      <c r="A3" s="97" t="s">
        <v>601</v>
      </c>
      <c r="E3" s="10" t="s">
        <v>602</v>
      </c>
    </row>
    <row r="4" customFormat="false" ht="15" hidden="false" customHeight="true" outlineLevel="0" collapsed="false">
      <c r="A4" s="1" t="s">
        <v>603</v>
      </c>
      <c r="B4" s="47" t="n">
        <f aca="false">SUM(ROSTER!AH4:AH50)</f>
        <v>3598</v>
      </c>
      <c r="C4" s="1"/>
      <c r="E4" s="8" t="s">
        <v>299</v>
      </c>
      <c r="F4" s="1" t="s">
        <v>604</v>
      </c>
      <c r="G4" s="1" t="s">
        <v>144</v>
      </c>
    </row>
    <row r="5" customFormat="false" ht="15" hidden="false" customHeight="true" outlineLevel="0" collapsed="false">
      <c r="A5" s="1" t="s">
        <v>605</v>
      </c>
      <c r="B5" s="49" t="n">
        <f aca="false">DAILY_COSTS!C31</f>
        <v>43221.5</v>
      </c>
      <c r="C5" s="1"/>
      <c r="E5" s="8" t="s">
        <v>304</v>
      </c>
      <c r="F5" s="1" t="s">
        <v>606</v>
      </c>
      <c r="G5" s="1" t="s">
        <v>146</v>
      </c>
    </row>
    <row r="6" customFormat="false" ht="15" hidden="false" customHeight="true" outlineLevel="0" collapsed="false">
      <c r="A6" s="1" t="s">
        <v>607</v>
      </c>
      <c r="B6" s="49" t="n">
        <f aca="false">DAILY_COSTS!D31</f>
        <v>0</v>
      </c>
      <c r="C6" s="1"/>
      <c r="E6" s="8" t="s">
        <v>240</v>
      </c>
      <c r="F6" s="1" t="s">
        <v>608</v>
      </c>
      <c r="G6" s="1" t="s">
        <v>609</v>
      </c>
    </row>
    <row r="7" customFormat="false" ht="15" hidden="false" customHeight="true" outlineLevel="0" collapsed="false">
      <c r="A7" s="1" t="s">
        <v>610</v>
      </c>
      <c r="B7" s="49" t="n">
        <f aca="false">DAILY_COSTS!E31</f>
        <v>0</v>
      </c>
      <c r="C7" s="1"/>
      <c r="E7" s="8" t="s">
        <v>274</v>
      </c>
      <c r="F7" s="1" t="s">
        <v>611</v>
      </c>
      <c r="G7" s="1" t="s">
        <v>612</v>
      </c>
    </row>
    <row r="8" customFormat="false" ht="15" hidden="false" customHeight="true" outlineLevel="0" collapsed="false">
      <c r="A8" s="1" t="s">
        <v>613</v>
      </c>
      <c r="B8" s="49" t="n">
        <f aca="false">DAILY_COSTS!F31</f>
        <v>0</v>
      </c>
      <c r="C8" s="1"/>
      <c r="E8" s="8" t="s">
        <v>350</v>
      </c>
      <c r="F8" s="1" t="s">
        <v>614</v>
      </c>
    </row>
    <row r="9" customFormat="false" ht="15" hidden="false" customHeight="true" outlineLevel="0" collapsed="false">
      <c r="A9" s="1" t="s">
        <v>385</v>
      </c>
      <c r="B9" s="49" t="n">
        <f aca="false">DAILY_COSTS!G31</f>
        <v>0</v>
      </c>
      <c r="E9" s="8" t="s">
        <v>20</v>
      </c>
      <c r="F9" s="1" t="s">
        <v>615</v>
      </c>
    </row>
    <row r="10" customFormat="false" ht="15" hidden="false" customHeight="true" outlineLevel="0" collapsed="false">
      <c r="A10" s="1" t="s">
        <v>616</v>
      </c>
      <c r="B10" s="49" t="n">
        <f aca="false">DAILY_COSTS!H31</f>
        <v>43221.5</v>
      </c>
      <c r="C10" s="1"/>
      <c r="E10" s="8" t="s">
        <v>617</v>
      </c>
      <c r="F10" s="1" t="s">
        <v>618</v>
      </c>
    </row>
    <row r="11" customFormat="false" ht="15" hidden="false" customHeight="true" outlineLevel="0" collapsed="false">
      <c r="A11" s="1" t="s">
        <v>387</v>
      </c>
      <c r="B11" s="47" t="n">
        <f aca="false">IF(DAILY_COSTS!H31&gt;0,(DAILY_COSTS!E31+DAILY_COSTS!F31)/DAILY_COSTS!H31*100,0)</f>
        <v>0</v>
      </c>
      <c r="C11" s="1" t="s">
        <v>206</v>
      </c>
      <c r="E11" s="8" t="s">
        <v>619</v>
      </c>
      <c r="F11" s="1" t="s">
        <v>620</v>
      </c>
      <c r="G11" s="1" t="s">
        <v>621</v>
      </c>
    </row>
    <row r="12" customFormat="false" ht="15" hidden="false" customHeight="true" outlineLevel="0" collapsed="false">
      <c r="A12" s="1" t="s">
        <v>622</v>
      </c>
      <c r="B12" s="49" t="n">
        <f aca="false">DAILY_COSTS!H31/28</f>
        <v>1543.625</v>
      </c>
      <c r="E12" s="8" t="s">
        <v>623</v>
      </c>
      <c r="F12" s="1" t="s">
        <v>624</v>
      </c>
    </row>
    <row r="13" customFormat="false" ht="15" hidden="false" customHeight="true" outlineLevel="0" collapsed="false">
      <c r="E13" s="8" t="s">
        <v>351</v>
      </c>
      <c r="F13" s="1" t="s">
        <v>625</v>
      </c>
      <c r="G13" s="1" t="s">
        <v>626</v>
      </c>
    </row>
    <row r="14" customFormat="false" ht="15" hidden="false" customHeight="true" outlineLevel="0" collapsed="false">
      <c r="A14" s="97" t="s">
        <v>627</v>
      </c>
      <c r="E14" s="8" t="s">
        <v>628</v>
      </c>
      <c r="F14" s="1" t="s">
        <v>629</v>
      </c>
      <c r="G14" s="1" t="s">
        <v>630</v>
      </c>
    </row>
    <row r="15" customFormat="false" ht="15" hidden="false" customHeight="true" outlineLevel="0" collapsed="false">
      <c r="A15" s="1" t="s">
        <v>239</v>
      </c>
      <c r="B15" s="47" t="n">
        <f aca="false">COUNTIFS(ROSTER!$B$4:$B$50,"Day A")</f>
        <v>8</v>
      </c>
      <c r="E15" s="8" t="s">
        <v>631</v>
      </c>
      <c r="F15" s="1" t="s">
        <v>632</v>
      </c>
      <c r="G15" s="1" t="s">
        <v>630</v>
      </c>
    </row>
    <row r="16" customFormat="false" ht="15" hidden="false" customHeight="true" outlineLevel="0" collapsed="false">
      <c r="A16" s="1" t="s">
        <v>257</v>
      </c>
      <c r="B16" s="47" t="n">
        <f aca="false">COUNTIFS(ROSTER!$B$4:$B$50,"Day B")</f>
        <v>8</v>
      </c>
      <c r="E16" s="8" t="s">
        <v>633</v>
      </c>
      <c r="F16" s="1" t="s">
        <v>634</v>
      </c>
      <c r="G16" s="1" t="s">
        <v>635</v>
      </c>
    </row>
    <row r="17" customFormat="false" ht="15" hidden="false" customHeight="true" outlineLevel="0" collapsed="false">
      <c r="A17" s="1" t="s">
        <v>273</v>
      </c>
      <c r="B17" s="47" t="n">
        <f aca="false">COUNTIFS(ROSTER!$B$4:$B$50,"Night A")</f>
        <v>3</v>
      </c>
      <c r="E17" s="8" t="s">
        <v>636</v>
      </c>
      <c r="F17" s="1" t="s">
        <v>637</v>
      </c>
      <c r="G17" s="1" t="s">
        <v>635</v>
      </c>
    </row>
    <row r="18" customFormat="false" ht="15" hidden="false" customHeight="true" outlineLevel="0" collapsed="false">
      <c r="A18" s="1" t="s">
        <v>282</v>
      </c>
      <c r="B18" s="47" t="n">
        <f aca="false">COUNTIFS(ROSTER!$B$4:$B$50,"Night B")</f>
        <v>3</v>
      </c>
      <c r="E18" s="8" t="s">
        <v>638</v>
      </c>
      <c r="F18" s="1" t="s">
        <v>639</v>
      </c>
      <c r="G18" s="1" t="s">
        <v>640</v>
      </c>
    </row>
    <row r="19" customFormat="false" ht="15" hidden="false" customHeight="true" outlineLevel="0" collapsed="false">
      <c r="A19" s="1" t="s">
        <v>99</v>
      </c>
      <c r="B19" s="47" t="n">
        <f aca="false">COUNTIFS(ROSTER!$B$4:$B$50,"Float")</f>
        <v>3</v>
      </c>
      <c r="E19" s="8" t="s">
        <v>641</v>
      </c>
      <c r="F19" s="1" t="s">
        <v>642</v>
      </c>
      <c r="G19" s="1" t="s">
        <v>640</v>
      </c>
    </row>
    <row r="20" customFormat="false" ht="15" hidden="false" customHeight="true" outlineLevel="0" collapsed="false">
      <c r="A20" s="8" t="s">
        <v>643</v>
      </c>
      <c r="B20" s="47" t="n">
        <f aca="false">SUM(B15:B19)</f>
        <v>25</v>
      </c>
      <c r="E20" s="8" t="s">
        <v>644</v>
      </c>
      <c r="F20" s="1" t="s">
        <v>384</v>
      </c>
      <c r="G20" s="1" t="s">
        <v>645</v>
      </c>
    </row>
    <row r="22" customFormat="false" ht="15" hidden="false" customHeight="true" outlineLevel="0" collapsed="false">
      <c r="A22" s="97" t="s">
        <v>646</v>
      </c>
      <c r="E22" s="1" t="s">
        <v>647</v>
      </c>
      <c r="F22" s="1" t="s">
        <v>648</v>
      </c>
      <c r="G22" s="1" t="s">
        <v>649</v>
      </c>
    </row>
    <row r="23" customFormat="false" ht="15" hidden="false" customHeight="true" outlineLevel="0" collapsed="false">
      <c r="A23" s="98" t="str">
        <f aca="false">SCENARIO_MODEL!A23</f>
        <v>CLEAN (Zero disruption)</v>
      </c>
      <c r="B23" s="99" t="n">
        <f aca="false">SCENARIO_MODEL!Q23</f>
        <v>563423.125</v>
      </c>
      <c r="E23" s="1" t="s">
        <v>650</v>
      </c>
      <c r="F23" s="1" t="s">
        <v>651</v>
      </c>
      <c r="G23" s="1" t="s">
        <v>649</v>
      </c>
    </row>
    <row r="24" customFormat="false" ht="15" hidden="false" customHeight="true" outlineLevel="0" collapsed="false">
      <c r="A24" s="1" t="str">
        <f aca="false">SCENARIO_MODEL!A24</f>
        <v>TYPICAL WEEK</v>
      </c>
      <c r="B24" s="99" t="n">
        <f aca="false">SCENARIO_MODEL!Q24</f>
        <v>670733.125</v>
      </c>
    </row>
    <row r="25" customFormat="false" ht="15" hidden="false" customHeight="true" outlineLevel="0" collapsed="false">
      <c r="A25" s="1" t="str">
        <f aca="false">SCENARIO_MODEL!A25</f>
        <v>BAD WEEK</v>
      </c>
      <c r="B25" s="99" t="n">
        <f aca="false">SCENARIO_MODEL!Q25</f>
        <v>733330.625</v>
      </c>
    </row>
    <row r="26" customFormat="false" ht="15" hidden="false" customHeight="true" outlineLevel="0" collapsed="false">
      <c r="A26" s="1" t="str">
        <f aca="false">SCENARIO_MODEL!A26</f>
        <v>CRISIS WEEK</v>
      </c>
      <c r="B26" s="99" t="n">
        <f aca="false">SCENARIO_MODEL!Q26</f>
        <v>742273.125</v>
      </c>
    </row>
    <row r="27" customFormat="false" ht="15" hidden="false" customHeight="true" outlineLevel="0" collapsed="false">
      <c r="A27" s="1" t="str">
        <f aca="false">SCENARIO_MODEL!A27</f>
        <v>WORST CASE (Winter/Flu)</v>
      </c>
      <c r="B27" s="99" t="n">
        <f aca="false">SCENARIO_MODEL!Q27</f>
        <v>751215.625</v>
      </c>
    </row>
    <row r="28" customFormat="false" ht="15" hidden="false" customHeight="true" outlineLevel="0" collapsed="false">
      <c r="A28" s="1" t="str">
        <f aca="false">SCENARIO_MODEL!A28</f>
        <v>PANDEMIC / NOROVIRUS</v>
      </c>
      <c r="B28" s="99" t="n">
        <f aca="false">SCENARIO_MODEL!Q28</f>
        <v>858525.625</v>
      </c>
    </row>
    <row r="30" customFormat="false" ht="17.25" hidden="false" customHeight="true" outlineLevel="0" collapsed="false">
      <c r="A30" s="100" t="s">
        <v>652</v>
      </c>
      <c r="B30" s="101" t="n">
        <f aca="false">SCENARIO_MODEL!B34</f>
        <v>105521.5</v>
      </c>
      <c r="C30" s="71"/>
    </row>
    <row r="33" customFormat="false" ht="15" hidden="false" customHeight="true" outlineLevel="0" collapsed="false">
      <c r="A33" s="8" t="s">
        <v>653</v>
      </c>
    </row>
    <row r="34" customFormat="false" ht="15" hidden="false" customHeight="true" outlineLevel="0" collapsed="false">
      <c r="A34" s="1" t="s">
        <v>299</v>
      </c>
      <c r="B34" s="1" t="s">
        <v>654</v>
      </c>
    </row>
    <row r="35" customFormat="false" ht="15" hidden="false" customHeight="true" outlineLevel="0" collapsed="false">
      <c r="A35" s="1" t="s">
        <v>304</v>
      </c>
      <c r="B35" s="1" t="s">
        <v>655</v>
      </c>
    </row>
    <row r="36" customFormat="false" ht="15" hidden="false" customHeight="true" outlineLevel="0" collapsed="false">
      <c r="A36" s="1" t="s">
        <v>240</v>
      </c>
      <c r="B36" s="1" t="s">
        <v>656</v>
      </c>
    </row>
    <row r="37" customFormat="false" ht="15" hidden="false" customHeight="true" outlineLevel="0" collapsed="false">
      <c r="A37" s="1" t="s">
        <v>274</v>
      </c>
      <c r="B37" s="1" t="s">
        <v>657</v>
      </c>
    </row>
    <row r="38" customFormat="false" ht="15" hidden="false" customHeight="true" outlineLevel="0" collapsed="false">
      <c r="A38" s="1" t="s">
        <v>350</v>
      </c>
      <c r="B38" s="1" t="s">
        <v>614</v>
      </c>
    </row>
    <row r="39" customFormat="false" ht="15" hidden="false" customHeight="true" outlineLevel="0" collapsed="false">
      <c r="A39" s="1" t="s">
        <v>20</v>
      </c>
      <c r="B39" s="1" t="s">
        <v>615</v>
      </c>
    </row>
    <row r="40" customFormat="false" ht="15" hidden="false" customHeight="true" outlineLevel="0" collapsed="false">
      <c r="A40" s="1" t="s">
        <v>617</v>
      </c>
      <c r="B40" s="1" t="s">
        <v>658</v>
      </c>
    </row>
    <row r="41" customFormat="false" ht="15" hidden="false" customHeight="true" outlineLevel="0" collapsed="false">
      <c r="A41" s="1" t="s">
        <v>619</v>
      </c>
      <c r="B41" s="1" t="s">
        <v>620</v>
      </c>
    </row>
    <row r="42" customFormat="false" ht="15" hidden="false" customHeight="true" outlineLevel="0" collapsed="false">
      <c r="A42" s="1" t="s">
        <v>623</v>
      </c>
      <c r="B42" s="1" t="s">
        <v>624</v>
      </c>
    </row>
    <row r="43" customFormat="false" ht="15" hidden="false" customHeight="true" outlineLevel="0" collapsed="false">
      <c r="A43" s="1" t="s">
        <v>351</v>
      </c>
      <c r="B43" s="1" t="s">
        <v>659</v>
      </c>
    </row>
    <row r="44" customFormat="false" ht="15" hidden="false" customHeight="true" outlineLevel="0" collapsed="false">
      <c r="A44" s="1" t="s">
        <v>660</v>
      </c>
      <c r="B44" s="1" t="s">
        <v>661</v>
      </c>
    </row>
    <row r="45" customFormat="false" ht="15" hidden="false" customHeight="true" outlineLevel="0" collapsed="false">
      <c r="A45" s="1" t="s">
        <v>662</v>
      </c>
      <c r="B45" s="1" t="s">
        <v>663</v>
      </c>
    </row>
    <row r="46" customFormat="false" ht="15" hidden="false" customHeight="true" outlineLevel="0" collapsed="false">
      <c r="A46" s="1" t="s">
        <v>664</v>
      </c>
      <c r="B46" s="1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38"/>
  </cols>
  <sheetData>
    <row r="1" customFormat="false" ht="19.5" hidden="false" customHeight="true" outlineLevel="0" collapsed="false">
      <c r="A1" s="13" t="s">
        <v>666</v>
      </c>
    </row>
    <row r="4" customFormat="false" ht="15" hidden="false" customHeight="true" outlineLevel="0" collapsed="false">
      <c r="B4" s="102" t="s">
        <v>667</v>
      </c>
      <c r="C4" s="103" t="s">
        <v>668</v>
      </c>
      <c r="D4" s="104" t="s">
        <v>669</v>
      </c>
    </row>
    <row r="6" customFormat="false" ht="15" hidden="false" customHeight="true" outlineLevel="0" collapsed="false">
      <c r="A6" s="10" t="s">
        <v>670</v>
      </c>
    </row>
    <row r="7" customFormat="false" ht="15" hidden="false" customHeight="true" outlineLevel="0" collapsed="false">
      <c r="A7" s="1" t="s">
        <v>671</v>
      </c>
      <c r="B7" s="11" t="n">
        <v>40</v>
      </c>
      <c r="C7" s="11" t="n">
        <v>40</v>
      </c>
      <c r="D7" s="11" t="n">
        <v>40</v>
      </c>
    </row>
    <row r="8" customFormat="false" ht="15" hidden="false" customHeight="true" outlineLevel="0" collapsed="false">
      <c r="A8" s="1" t="s">
        <v>672</v>
      </c>
      <c r="B8" s="105" t="n">
        <v>0.82</v>
      </c>
      <c r="C8" s="105" t="n">
        <v>0.88</v>
      </c>
      <c r="D8" s="105" t="n">
        <v>0.9</v>
      </c>
    </row>
    <row r="9" customFormat="false" ht="15" hidden="false" customHeight="true" outlineLevel="0" collapsed="false">
      <c r="A9" s="1" t="s">
        <v>673</v>
      </c>
      <c r="B9" s="106" t="n">
        <f aca="false">B7*B8</f>
        <v>32.8</v>
      </c>
      <c r="C9" s="106" t="n">
        <f aca="false">C7*C8</f>
        <v>35.2</v>
      </c>
      <c r="D9" s="106" t="n">
        <f aca="false">D7*D8</f>
        <v>36</v>
      </c>
    </row>
    <row r="10" customFormat="false" ht="15" hidden="false" customHeight="true" outlineLevel="0" collapsed="false">
      <c r="A10" s="1" t="s">
        <v>674</v>
      </c>
      <c r="B10" s="11" t="n">
        <v>880</v>
      </c>
      <c r="C10" s="11" t="n">
        <v>930</v>
      </c>
      <c r="D10" s="11" t="n">
        <v>970</v>
      </c>
    </row>
    <row r="11" customFormat="false" ht="15" hidden="false" customHeight="true" outlineLevel="0" collapsed="false">
      <c r="A11" s="1" t="s">
        <v>675</v>
      </c>
      <c r="B11" s="11" t="n">
        <v>1100</v>
      </c>
      <c r="C11" s="11" t="n">
        <v>1250</v>
      </c>
      <c r="D11" s="11" t="n">
        <v>1350</v>
      </c>
    </row>
    <row r="12" customFormat="false" ht="15" hidden="false" customHeight="true" outlineLevel="0" collapsed="false">
      <c r="A12" s="1" t="s">
        <v>676</v>
      </c>
      <c r="B12" s="105" t="n">
        <v>0.25</v>
      </c>
      <c r="C12" s="105" t="n">
        <v>0.3</v>
      </c>
      <c r="D12" s="105" t="n">
        <v>0.35</v>
      </c>
    </row>
    <row r="13" customFormat="false" ht="15" hidden="false" customHeight="true" outlineLevel="0" collapsed="false">
      <c r="A13" s="1" t="s">
        <v>473</v>
      </c>
      <c r="B13" s="1" t="n">
        <f aca="false">B9*(1-B12)</f>
        <v>24.6</v>
      </c>
      <c r="C13" s="1" t="n">
        <f aca="false">C9*(1-C12)</f>
        <v>24.64</v>
      </c>
      <c r="D13" s="1" t="n">
        <f aca="false">D9*(1-D12)</f>
        <v>23.4</v>
      </c>
    </row>
    <row r="14" customFormat="false" ht="15" hidden="false" customHeight="true" outlineLevel="0" collapsed="false">
      <c r="A14" s="1" t="s">
        <v>474</v>
      </c>
      <c r="B14" s="1" t="n">
        <f aca="false">B9*B12</f>
        <v>8.2</v>
      </c>
      <c r="C14" s="1" t="n">
        <f aca="false">C9*C12</f>
        <v>10.56</v>
      </c>
      <c r="D14" s="1" t="n">
        <f aca="false">D9*D12</f>
        <v>12.6</v>
      </c>
    </row>
    <row r="15" customFormat="false" ht="15" hidden="false" customHeight="true" outlineLevel="0" collapsed="false">
      <c r="A15" s="8" t="s">
        <v>677</v>
      </c>
      <c r="B15" s="21" t="n">
        <f aca="false">(B13*B10+B14*B11)*52</f>
        <v>1594736</v>
      </c>
      <c r="C15" s="21" t="n">
        <f aca="false">(C13*C10+C14*C11)*52</f>
        <v>1877990.4</v>
      </c>
      <c r="D15" s="21" t="n">
        <f aca="false">(D13*D10+D14*D11)*52</f>
        <v>2064816</v>
      </c>
    </row>
    <row r="17" customFormat="false" ht="15" hidden="false" customHeight="true" outlineLevel="0" collapsed="false">
      <c r="A17" s="10" t="s">
        <v>678</v>
      </c>
    </row>
    <row r="18" customFormat="false" ht="15" hidden="false" customHeight="true" outlineLevel="0" collapsed="false">
      <c r="A18" s="1" t="s">
        <v>679</v>
      </c>
      <c r="B18" s="47" t="n">
        <f aca="false">DAILY_COSTS!C31/28*365</f>
        <v>563423.125</v>
      </c>
      <c r="C18" s="1" t="n">
        <f aca="false">IF(B8=0,0,B18*(1+0.067)*(C8/B8))</f>
        <v>645160.704207317</v>
      </c>
      <c r="D18" s="1" t="n">
        <f aca="false">IF(C8=0,0,C18*(1+0.05)*(D8/C8))</f>
        <v>692814.619858994</v>
      </c>
      <c r="E18" s="1" t="s">
        <v>680</v>
      </c>
    </row>
    <row r="19" customFormat="false" ht="15" hidden="false" customHeight="true" outlineLevel="0" collapsed="false">
      <c r="A19" s="1" t="s">
        <v>681</v>
      </c>
      <c r="B19" s="1" t="n">
        <f aca="false">B18*0.106</f>
        <v>59722.85125</v>
      </c>
      <c r="C19" s="1" t="n">
        <f aca="false">C18*0.03</f>
        <v>19354.8211262195</v>
      </c>
      <c r="D19" s="1" t="n">
        <f aca="false">D18*0.015</f>
        <v>10392.2192978849</v>
      </c>
    </row>
    <row r="20" customFormat="false" ht="15" hidden="false" customHeight="true" outlineLevel="0" collapsed="false">
      <c r="A20" s="1" t="s">
        <v>682</v>
      </c>
      <c r="B20" s="1" t="n">
        <f aca="false">B18*0.01</f>
        <v>5634.23125</v>
      </c>
      <c r="C20" s="1" t="n">
        <f aca="false">C18*0.035</f>
        <v>22580.6246472561</v>
      </c>
      <c r="D20" s="1" t="n">
        <f aca="false">D18*0.025</f>
        <v>17320.3654964749</v>
      </c>
    </row>
    <row r="21" customFormat="false" ht="15" hidden="false" customHeight="true" outlineLevel="0" collapsed="false">
      <c r="A21" s="8" t="s">
        <v>683</v>
      </c>
      <c r="B21" s="8" t="n">
        <f aca="false">SUM(B18:B20)</f>
        <v>628780.2075</v>
      </c>
      <c r="C21" s="8" t="n">
        <f aca="false">SUM(C18:C20)</f>
        <v>687096.149980793</v>
      </c>
      <c r="D21" s="8" t="n">
        <f aca="false">SUM(D18:D20)</f>
        <v>720527.204653354</v>
      </c>
    </row>
    <row r="23" customFormat="false" ht="15" hidden="false" customHeight="true" outlineLevel="0" collapsed="false">
      <c r="A23" s="107" t="s">
        <v>684</v>
      </c>
    </row>
    <row r="24" customFormat="false" ht="15" hidden="false" customHeight="true" outlineLevel="0" collapsed="false">
      <c r="A24" s="1" t="s">
        <v>685</v>
      </c>
      <c r="B24" s="108" t="n">
        <v>45000</v>
      </c>
      <c r="C24" s="108" t="n">
        <f aca="false">B24*1.04</f>
        <v>46800</v>
      </c>
      <c r="D24" s="108" t="n">
        <f aca="false">C24*1.04</f>
        <v>48672</v>
      </c>
    </row>
    <row r="25" customFormat="false" ht="15" hidden="false" customHeight="true" outlineLevel="0" collapsed="false">
      <c r="A25" s="1" t="s">
        <v>686</v>
      </c>
      <c r="B25" s="108" t="n">
        <v>32000</v>
      </c>
      <c r="C25" s="108" t="n">
        <f aca="false">B25*1.04</f>
        <v>33280</v>
      </c>
      <c r="D25" s="108" t="n">
        <f aca="false">C25*1.04</f>
        <v>34611.2</v>
      </c>
    </row>
    <row r="26" customFormat="false" ht="15" hidden="false" customHeight="true" outlineLevel="0" collapsed="false">
      <c r="A26" s="1" t="s">
        <v>620</v>
      </c>
      <c r="B26" s="108" t="n">
        <v>22000</v>
      </c>
      <c r="C26" s="108" t="n">
        <f aca="false">B26*1.05</f>
        <v>23100</v>
      </c>
      <c r="D26" s="108" t="n">
        <f aca="false">C26*1.05</f>
        <v>24255</v>
      </c>
    </row>
    <row r="27" customFormat="false" ht="15" hidden="false" customHeight="true" outlineLevel="0" collapsed="false">
      <c r="A27" s="1" t="s">
        <v>687</v>
      </c>
      <c r="B27" s="108" t="n">
        <v>44000</v>
      </c>
      <c r="C27" s="108" t="n">
        <f aca="false">IF(B8=0,B27,B27*(0.7+0.3*C8/B8)*1.067)</f>
        <v>47978.5658536585</v>
      </c>
      <c r="D27" s="108" t="n">
        <f aca="false">IF(C8=0,C27,C27*(0.7+0.3*D8/C8)*1.05)</f>
        <v>50720.9770609756</v>
      </c>
    </row>
    <row r="28" customFormat="false" ht="15" hidden="false" customHeight="true" outlineLevel="0" collapsed="false">
      <c r="A28" s="1" t="s">
        <v>688</v>
      </c>
      <c r="B28" s="108" t="n">
        <v>40000</v>
      </c>
      <c r="C28" s="108" t="n">
        <f aca="false">IF(B8=0,B28,B28*(0.5+0.5*C8/B8)*1.067)</f>
        <v>44241.4634146341</v>
      </c>
      <c r="D28" s="108" t="n">
        <f aca="false">IF(C8=0,C28,C28*(0.5+0.5*D8/C8)*1.05)</f>
        <v>46981.4176829268</v>
      </c>
    </row>
    <row r="29" customFormat="false" ht="15" hidden="false" customHeight="true" outlineLevel="0" collapsed="false">
      <c r="A29" s="1" t="s">
        <v>689</v>
      </c>
      <c r="B29" s="108" t="n">
        <v>12000</v>
      </c>
      <c r="C29" s="108" t="n">
        <f aca="false">B29*1.03</f>
        <v>12360</v>
      </c>
      <c r="D29" s="108" t="n">
        <f aca="false">C29*1.03</f>
        <v>12730.8</v>
      </c>
    </row>
    <row r="30" customFormat="false" ht="15" hidden="false" customHeight="true" outlineLevel="0" collapsed="false">
      <c r="A30" s="8" t="s">
        <v>690</v>
      </c>
      <c r="B30" s="1" t="n">
        <f aca="false">SUM(B24:B29)</f>
        <v>195000</v>
      </c>
      <c r="C30" s="1" t="n">
        <f aca="false">SUM(C24:C29)</f>
        <v>207760.029268293</v>
      </c>
      <c r="D30" s="1" t="n">
        <f aca="false">SUM(D24:D29)</f>
        <v>217971.394743902</v>
      </c>
    </row>
    <row r="32" customFormat="false" ht="15" hidden="false" customHeight="true" outlineLevel="0" collapsed="false">
      <c r="A32" s="1" t="s">
        <v>691</v>
      </c>
      <c r="B32" s="1" t="n">
        <f aca="false">MAX((B21+B30)-33*5000,0)*0.15-10500</f>
        <v>88317.031125</v>
      </c>
      <c r="C32" s="1" t="n">
        <f aca="false">MAX((C21+C30)-33*5000,0)*0.15-10500</f>
        <v>98978.4268873628</v>
      </c>
      <c r="D32" s="1" t="n">
        <f aca="false">MAX((D21+D30)-33*5000,0)*0.15-10500</f>
        <v>105524.789909588</v>
      </c>
      <c r="E32" s="48" t="s">
        <v>692</v>
      </c>
    </row>
    <row r="33" customFormat="false" ht="15" hidden="false" customHeight="true" outlineLevel="0" collapsed="false">
      <c r="A33" s="1" t="s">
        <v>693</v>
      </c>
      <c r="B33" s="1" t="n">
        <f aca="false">(B21+B30)*0.03</f>
        <v>24713.406225</v>
      </c>
      <c r="C33" s="1" t="n">
        <f aca="false">(C21+C30)*0.03</f>
        <v>26845.6853774726</v>
      </c>
      <c r="D33" s="1" t="n">
        <f aca="false">(D21+D30)*0.03</f>
        <v>28154.9579819177</v>
      </c>
    </row>
    <row r="34" customFormat="false" ht="15" hidden="false" customHeight="true" outlineLevel="0" collapsed="false">
      <c r="A34" s="1" t="s">
        <v>694</v>
      </c>
      <c r="B34" s="11" t="n">
        <v>12000</v>
      </c>
      <c r="C34" s="11" t="n">
        <v>20000</v>
      </c>
      <c r="D34" s="11" t="n">
        <v>10000</v>
      </c>
    </row>
    <row r="35" customFormat="false" ht="15" hidden="false" customHeight="true" outlineLevel="0" collapsed="false">
      <c r="A35" s="8" t="s">
        <v>695</v>
      </c>
      <c r="B35" s="1" t="n">
        <f aca="false">SUM(B32:B34)</f>
        <v>125030.43735</v>
      </c>
      <c r="C35" s="1" t="n">
        <f aca="false">SUM(C32:C34)</f>
        <v>145824.112264835</v>
      </c>
      <c r="D35" s="1" t="n">
        <f aca="false">SUM(D32:D34)</f>
        <v>143679.747891506</v>
      </c>
    </row>
    <row r="37" customFormat="false" ht="15" hidden="false" customHeight="true" outlineLevel="0" collapsed="false">
      <c r="A37" s="75" t="s">
        <v>696</v>
      </c>
      <c r="B37" s="22" t="n">
        <f aca="false">B21+B30+B35</f>
        <v>948810.64485</v>
      </c>
      <c r="C37" s="22" t="n">
        <f aca="false">C21+C30+C35</f>
        <v>1040680.29151392</v>
      </c>
      <c r="D37" s="22" t="n">
        <f aca="false">D21+D30+D35</f>
        <v>1082178.34728876</v>
      </c>
    </row>
    <row r="38" customFormat="false" ht="15" hidden="false" customHeight="true" outlineLevel="0" collapsed="false">
      <c r="A38" s="1" t="s">
        <v>697</v>
      </c>
      <c r="B38" s="87" t="n">
        <f aca="false">IF(B15=0,0,B37/B15)</f>
        <v>0.594964084870474</v>
      </c>
      <c r="C38" s="87" t="n">
        <f aca="false">IF(C15=0,0,C37/C15)</f>
        <v>0.554145692924693</v>
      </c>
      <c r="D38" s="87" t="n">
        <f aca="false">IF(D15=0,0,D37/D15)</f>
        <v>0.524104010860417</v>
      </c>
      <c r="E38" s="1" t="s">
        <v>698</v>
      </c>
    </row>
    <row r="40" customFormat="false" ht="15" hidden="false" customHeight="true" outlineLevel="0" collapsed="false">
      <c r="A40" s="107" t="s">
        <v>699</v>
      </c>
    </row>
    <row r="41" customFormat="false" ht="15" hidden="false" customHeight="true" outlineLevel="0" collapsed="false">
      <c r="A41" s="1" t="s">
        <v>700</v>
      </c>
      <c r="B41" s="108" t="n">
        <v>65000</v>
      </c>
      <c r="C41" s="108" t="n">
        <v>68000</v>
      </c>
      <c r="D41" s="108" t="n">
        <v>72000</v>
      </c>
    </row>
    <row r="42" customFormat="false" ht="15" hidden="false" customHeight="true" outlineLevel="0" collapsed="false">
      <c r="A42" s="1" t="s">
        <v>701</v>
      </c>
      <c r="B42" s="108" t="n">
        <v>42000</v>
      </c>
      <c r="C42" s="108" t="n">
        <v>40000</v>
      </c>
      <c r="D42" s="108" t="n">
        <v>38000</v>
      </c>
    </row>
    <row r="43" customFormat="false" ht="15" hidden="false" customHeight="true" outlineLevel="0" collapsed="false">
      <c r="A43" s="1" t="s">
        <v>702</v>
      </c>
      <c r="B43" s="108" t="n">
        <v>30000</v>
      </c>
      <c r="C43" s="108" t="n">
        <v>31000</v>
      </c>
      <c r="D43" s="108" t="n">
        <v>32000</v>
      </c>
    </row>
    <row r="44" customFormat="false" ht="15" hidden="false" customHeight="true" outlineLevel="0" collapsed="false">
      <c r="A44" s="1" t="s">
        <v>689</v>
      </c>
      <c r="B44" s="108" t="n">
        <v>25000</v>
      </c>
      <c r="C44" s="108" t="n">
        <v>30000</v>
      </c>
      <c r="D44" s="108" t="n">
        <v>25000</v>
      </c>
    </row>
    <row r="45" customFormat="false" ht="15" hidden="false" customHeight="true" outlineLevel="0" collapsed="false">
      <c r="A45" s="1" t="s">
        <v>703</v>
      </c>
      <c r="B45" s="108" t="n">
        <v>7000</v>
      </c>
      <c r="C45" s="108" t="n">
        <v>7500</v>
      </c>
      <c r="D45" s="108" t="n">
        <v>8000</v>
      </c>
    </row>
    <row r="46" customFormat="false" ht="15" hidden="false" customHeight="true" outlineLevel="0" collapsed="false">
      <c r="A46" s="1" t="s">
        <v>704</v>
      </c>
      <c r="B46" s="108" t="n">
        <v>8000</v>
      </c>
      <c r="C46" s="108" t="n">
        <v>12000</v>
      </c>
      <c r="D46" s="108" t="n">
        <v>10000</v>
      </c>
    </row>
    <row r="47" customFormat="false" ht="15" hidden="false" customHeight="true" outlineLevel="0" collapsed="false">
      <c r="A47" s="1" t="s">
        <v>705</v>
      </c>
      <c r="B47" s="108" t="n">
        <v>5000</v>
      </c>
      <c r="C47" s="108" t="n">
        <v>18000</v>
      </c>
      <c r="D47" s="108" t="n">
        <v>12000</v>
      </c>
    </row>
    <row r="48" customFormat="false" ht="15" hidden="false" customHeight="true" outlineLevel="0" collapsed="false">
      <c r="A48" s="1" t="s">
        <v>706</v>
      </c>
      <c r="B48" s="108" t="n">
        <v>15000</v>
      </c>
      <c r="C48" s="108" t="n">
        <v>16000</v>
      </c>
      <c r="D48" s="108" t="n">
        <v>17000</v>
      </c>
    </row>
    <row r="49" customFormat="false" ht="15" hidden="false" customHeight="true" outlineLevel="0" collapsed="false">
      <c r="A49" s="1" t="s">
        <v>707</v>
      </c>
      <c r="B49" s="108" t="n">
        <v>0</v>
      </c>
      <c r="C49" s="108" t="n">
        <v>12000</v>
      </c>
      <c r="D49" s="108" t="n">
        <v>10000</v>
      </c>
    </row>
    <row r="50" customFormat="false" ht="15" hidden="false" customHeight="true" outlineLevel="0" collapsed="false">
      <c r="A50" s="8" t="s">
        <v>708</v>
      </c>
      <c r="B50" s="1" t="n">
        <f aca="false">SUM(B41:B49)</f>
        <v>197000</v>
      </c>
      <c r="C50" s="1" t="n">
        <f aca="false">SUM(C41:C49)</f>
        <v>234500</v>
      </c>
      <c r="D50" s="1" t="n">
        <f aca="false">SUM(D41:D49)</f>
        <v>224000</v>
      </c>
    </row>
    <row r="52" customFormat="false" ht="15.75" hidden="false" customHeight="true" outlineLevel="0" collapsed="false">
      <c r="A52" s="6" t="s">
        <v>709</v>
      </c>
      <c r="B52" s="109" t="n">
        <f aca="false">B37+B50</f>
        <v>1145810.64485</v>
      </c>
      <c r="C52" s="109" t="n">
        <f aca="false">C37+C50</f>
        <v>1275180.29151392</v>
      </c>
      <c r="D52" s="109" t="n">
        <f aca="false">D37+D50</f>
        <v>1306178.34728876</v>
      </c>
    </row>
    <row r="54" customFormat="false" ht="17.25" hidden="false" customHeight="true" outlineLevel="0" collapsed="false">
      <c r="A54" s="110" t="s">
        <v>710</v>
      </c>
      <c r="B54" s="111" t="n">
        <f aca="false">B15-B52</f>
        <v>448925.35515</v>
      </c>
      <c r="C54" s="111" t="n">
        <f aca="false">C15-C52</f>
        <v>602810.108486079</v>
      </c>
      <c r="D54" s="111" t="n">
        <f aca="false">D15-D52</f>
        <v>758637.652711238</v>
      </c>
    </row>
    <row r="55" customFormat="false" ht="15" hidden="false" customHeight="true" outlineLevel="0" collapsed="false">
      <c r="A55" s="1" t="s">
        <v>480</v>
      </c>
      <c r="B55" s="87" t="n">
        <f aca="false">IF(B15=0,0,B54/B15)</f>
        <v>0.281504496763101</v>
      </c>
      <c r="C55" s="87" t="n">
        <f aca="false">IF(C15=0,0,C54/C15)</f>
        <v>0.320986789115684</v>
      </c>
      <c r="D55" s="87" t="n">
        <f aca="false">IF(D15=0,0,D54/D15)</f>
        <v>0.36741174647583</v>
      </c>
      <c r="E55" s="1" t="s">
        <v>711</v>
      </c>
    </row>
    <row r="57" customFormat="false" ht="15" hidden="false" customHeight="true" outlineLevel="0" collapsed="false">
      <c r="A57" s="1" t="s">
        <v>498</v>
      </c>
      <c r="B57" s="11" t="n">
        <v>6</v>
      </c>
      <c r="C57" s="11" t="n">
        <v>6</v>
      </c>
      <c r="D57" s="11" t="n">
        <v>6</v>
      </c>
    </row>
    <row r="58" customFormat="false" ht="15" hidden="false" customHeight="true" outlineLevel="0" collapsed="false">
      <c r="A58" s="1" t="s">
        <v>712</v>
      </c>
      <c r="B58" s="21" t="n">
        <f aca="false">B54*B57</f>
        <v>2693552.1309</v>
      </c>
      <c r="C58" s="21" t="n">
        <f aca="false">C54*C57</f>
        <v>3616860.65091648</v>
      </c>
      <c r="D58" s="21" t="n">
        <f aca="false">D54*D57</f>
        <v>4551825.91626743</v>
      </c>
    </row>
    <row r="59" customFormat="false" ht="17.25" hidden="false" customHeight="true" outlineLevel="0" collapsed="false">
      <c r="A59" s="110" t="s">
        <v>713</v>
      </c>
      <c r="B59" s="1" t="s">
        <v>714</v>
      </c>
      <c r="C59" s="111" t="n">
        <f aca="false">C58-B58</f>
        <v>923308.520016475</v>
      </c>
      <c r="D59" s="111" t="n">
        <f aca="false">D58-B58</f>
        <v>1858273.78536743</v>
      </c>
    </row>
    <row r="61" customFormat="false" ht="15" hidden="false" customHeight="true" outlineLevel="0" collapsed="false">
      <c r="A61" s="1" t="s">
        <v>715</v>
      </c>
      <c r="C61" s="19" t="n">
        <f aca="false">C59*10</f>
        <v>9233085.20016475</v>
      </c>
      <c r="D61" s="19" t="n">
        <f aca="false">D59*10</f>
        <v>18582737.8536743</v>
      </c>
    </row>
    <row r="62" customFormat="false" ht="15" hidden="false" customHeight="true" outlineLevel="0" collapsed="false">
      <c r="A62" s="1" t="s">
        <v>716</v>
      </c>
      <c r="C62" s="19" t="n">
        <f aca="false">C59*30</f>
        <v>27699255.6004943</v>
      </c>
      <c r="D62" s="19" t="n">
        <f aca="false">D59*30</f>
        <v>55748213.5610228</v>
      </c>
    </row>
  </sheetData>
  <dataValidations count="4">
    <dataValidation allowBlank="false" error="Occupancy must be 0% to 100%" errorStyle="stop" errorTitle="Invalid Occupancy" operator="between" showDropDown="false" showErrorMessage="true" showInputMessage="false" sqref="B8:D8" type="decimal">
      <formula1>0</formula1>
      <formula2>1</formula2>
    </dataValidation>
    <dataValidation allowBlank="false" error="Private mix must be 0% to 100%" errorStyle="stop" errorTitle="Invalid Mix" operator="between" showDropDown="false" showErrorMessage="true" showInputMessage="false" sqref="B12:D12" type="decimal">
      <formula1>0</formula1>
      <formula2>1</formula2>
    </dataValidation>
    <dataValidation allowBlank="false" error="Fee rate cannot be negative" errorStyle="stop" errorTitle="Invalid Fee" operator="greaterThanOrEqual" showDropDown="false" showErrorMessage="true" showInputMessage="false" sqref="B10:D11" type="decimal">
      <formula1>0</formula1>
      <formula2>0</formula2>
    </dataValidation>
    <dataValidation allowBlank="false" error="Bed count cannot be negative" errorStyle="stop" errorTitle="Invalid Beds" operator="greaterThanOrEqual" showDropDown="false" showErrorMessage="true" showInputMessage="false" sqref="B7:D7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2025-12-20T17:57:50Z</dcterms:created>
  <dc:creator>openpyxl</dc:creator>
  <dc:description/>
  <dc:language>en-US</dc:language>
  <cp:lastModifiedBy/>
  <dcterms:modified xsi:type="dcterms:W3CDTF">2026-02-23T13:54:45Z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